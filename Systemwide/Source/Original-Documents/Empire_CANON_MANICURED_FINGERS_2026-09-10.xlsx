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3ddca019e6499e" /></Relationships>
</file>

<file path=xl/workbook.xml><?xml version="1.0" encoding="utf-8"?>
<x:workbook xmlns:x="http://schemas.openxmlformats.org/spreadsheetml/2006/main">
  <x:sheets>
    <x:sheet xmlns:r="http://schemas.openxmlformats.org/officeDocument/2006/relationships" name="Valuation Grid" sheetId="1" r:id="Ree6d6925a6af4bd5"/>
    <x:sheet xmlns:r="http://schemas.openxmlformats.org/officeDocument/2006/relationships" name="Assumptions" sheetId="2" r:id="Rbbab26e6345d4182"/>
    <x:sheet xmlns:r="http://schemas.openxmlformats.org/officeDocument/2006/relationships" name="Summary" sheetId="3" r:id="R94a8d1d90b9a4669"/>
    <x:sheet xmlns:r="http://schemas.openxmlformats.org/officeDocument/2006/relationships" name="Manicured Fingers" sheetId="4" r:id="R98aa264f57e44ee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00;[Red]($0.00);-"/>
  </x:numFmts>
  <x:fonts count="8">
    <x:font>
      <x:sz val="11"/>
      <x:name val="Carlito"/>
    </x:font>
    <x:font>
      <x:b/>
      <x:sz val="11"/>
      <x:color rgb="FFFFFFFF"/>
      <x:name val="Carlito"/>
    </x:font>
    <x:font>
      <x:b/>
      <x:sz val="16"/>
      <x:color rgb="FFFFFFFF"/>
      <x:name val="Carlito"/>
    </x:font>
    <x:font>
      <x:sz val="11"/>
      <x:color rgb="FF0000FF"/>
      <x:name val="Carlito"/>
    </x:font>
    <x:font>
      <x:sz val="11"/>
      <x:color rgb="FF000000"/>
      <x:name val="Carlito"/>
    </x:font>
    <x:font>
      <x:sz val="11"/>
      <x:color rgb="FF008000"/>
      <x:name val="Carlito"/>
    </x:font>
    <x:font>
      <x:b/>
      <x:sz val="15"/>
      <x:color rgb="FFFFFFFF"/>
      <x:name val="Carlito"/>
    </x:font>
    <x:font>
      <x:b/>
      <x:sz val="11"/>
      <x:name val="Carlito"/>
    </x:font>
  </x:fonts>
  <x:fills count="6">
    <x:fill>
      <x:patternFill patternType="none"/>
    </x:fill>
    <x:fill>
      <x:patternFill patternType="gray125"/>
    </x:fill>
    <x:fill>
      <x:patternFill patternType="solid">
        <x:fgColor rgb="FF17324D"/>
      </x:patternFill>
    </x:fill>
    <x:fill>
      <x:patternFill patternType="solid">
        <x:fgColor rgb="FF17365D"/>
      </x:patternFill>
    </x:fill>
    <x:fill>
      <x:patternFill patternType="solid">
        <x:fgColor rgb="FFD9EAD3"/>
      </x:patternFill>
    </x:fill>
    <x:fill>
      <x:patternFill patternType="solid">
        <x:fgColor rgb="FF17365D"/>
      </x:patternFill>
    </x:fill>
  </x:fills>
  <x:borders count="2">
    <x:border/>
    <x:border/>
  </x:borders>
  <x:cellStyleXfs count="1">
    <x:xf numFmtId="0" fontId="0" fillId="0" borderId="0"/>
  </x:cellStyleXfs>
  <x:cellXfs count="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3" fillId="0" borderId="0" xfId="0" applyNumberFormat="1" applyFont="1" applyFill="1" applyBorder="1"/>
    <x:xf numFmtId="201" fontId="3" fillId="0" borderId="0" xfId="0" applyNumberFormat="1" applyFont="1" applyFill="1" applyBorder="1"/>
    <x:xf numFmtId="200" fontId="3" fillId="0" borderId="1" xfId="0" applyNumberFormat="1" applyFont="1" applyFill="1" applyBorder="1"/>
    <x:xf numFmtId="201" fontId="3" fillId="0" borderId="1" xfId="0" applyNumberFormat="1" applyFont="1" applyFill="1" applyBorder="1"/>
    <x:xf numFmtId="200" fontId="4" fillId="0" borderId="0" xfId="0" applyNumberFormat="1" applyFont="1" applyFill="1" applyBorder="1"/>
    <x:xf numFmtId="200" fontId="4" fillId="0" borderId="1" xfId="0" applyNumberFormat="1" applyFont="1" applyFill="1" applyBorder="1"/>
    <x:xf numFmtId="200" fontId="5" fillId="0" borderId="0" xfId="0" applyNumberFormat="1" applyFont="1" applyFill="1" applyBorder="1"/>
    <x:xf numFmtId="200" fontId="5" fillId="0" borderId="1" xfId="0" applyNumberFormat="1" applyFont="1" applyFill="1" applyBorder="1"/>
    <x:xf numFmtId="0" fontId="0" fillId="0" borderId="0" xfId="0" applyNumberFormat="1" applyFont="1" applyFill="1" applyBorder="1" applyAlignment="1">
      <x:alignment wrapText="1"/>
    </x:xf>
    <x:xf numFmtId="200" fontId="3" fillId="0" borderId="0" xfId="0" applyNumberFormat="1" applyFont="1" applyFill="1" applyBorder="1" applyAlignment="1">
      <x:alignment wrapText="1"/>
    </x:xf>
    <x:xf numFmtId="201" fontId="3" fillId="0" borderId="0" xfId="0" applyNumberFormat="1" applyFont="1" applyFill="1" applyBorder="1" applyAlignment="1">
      <x:alignment wrapText="1"/>
    </x:xf>
    <x:xf numFmtId="200" fontId="4"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3" fillId="0" borderId="1" xfId="0" applyNumberFormat="1" applyFont="1" applyFill="1" applyBorder="1" applyAlignment="1">
      <x:alignment wrapText="1"/>
    </x:xf>
    <x:xf numFmtId="201" fontId="3" fillId="0" borderId="1" xfId="0" applyNumberFormat="1" applyFont="1" applyFill="1" applyBorder="1" applyAlignment="1">
      <x:alignment wrapText="1"/>
    </x:xf>
    <x:xf numFmtId="200" fontId="4" fillId="0" borderId="1" xfId="0" applyNumberFormat="1" applyFont="1" applyFill="1" applyBorder="1" applyAlignment="1">
      <x:alignment wrapText="1"/>
    </x:xf>
    <x:xf numFmtId="0" fontId="2" fillId="2" borderId="0" xfId="0" applyNumberFormat="1" applyFont="1" applyFill="1" applyBorder="1" applyAlignment="1">
      <x:alignment horizontal="center" wrapText="1"/>
    </x:xf>
    <x:xf numFmtId="200" fontId="5"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2" fillId="2" borderId="1" xfId="0" applyNumberFormat="1" applyFont="1" applyFill="1" applyBorder="1" applyAlignment="1">
      <x:alignment horizontal="center" wrapText="1"/>
    </x:xf>
    <x:xf numFmtId="200" fontId="5"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2" borderId="0" xfId="0" applyNumberFormat="1" applyFont="1" applyFill="1" applyBorder="1" applyAlignment="1">
      <x:alignment wrapText="1"/>
    </x:xf>
    <x:xf numFmtId="0" fontId="0" fillId="0" borderId="0" xfId="0" applyNumberFormat="1" applyFont="1" applyFill="1" applyBorder="1"/>
    <x:xf numFmtId="202" fontId="0" fillId="0" borderId="0" xfId="0" applyNumberFormat="1" applyFont="1" applyFill="1" applyBorder="1"/>
    <x:xf numFmtId="202" fontId="3" fillId="0" borderId="0" xfId="0" applyNumberFormat="1" applyFont="1" applyFill="1" applyBorder="1"/>
    <x:xf numFmtId="202" fontId="4" fillId="0" borderId="0" xfId="0" applyNumberFormat="1" applyFont="1" applyFill="1" applyBorder="1"/>
    <x:xf numFmtId="202" fontId="3" fillId="0" borderId="0" xfId="0" applyNumberFormat="1" applyFont="1" applyFill="1" applyBorder="1" applyAlignment="1">
      <x:alignment wrapText="1"/>
    </x:xf>
    <x:xf numFmtId="202" fontId="4" fillId="0" borderId="0" xfId="0" applyNumberFormat="1" applyFont="1" applyFill="1" applyBorder="1" applyAlignment="1">
      <x:alignment wrapText="1"/>
    </x:xf>
    <x:xf numFmtId="0" fontId="0"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horizontal="left"/>
    </x:xf>
    <x:xf numFmtId="0" fontId="1" fillId="3" borderId="0" xfId="0" applyNumberFormat="1" applyFont="1" applyFill="1" applyBorder="1"/>
    <x:xf numFmtId="0" fontId="1" fillId="3" borderId="0" xfId="0" applyNumberFormat="1" applyFont="1" applyFill="1" applyBorder="1" applyAlignment="1">
      <x:alignment wrapText="1"/>
    </x:xf>
    <x:xf numFmtId="0" fontId="3" fillId="0" borderId="0" xfId="0" applyNumberFormat="1" applyFont="1" applyFill="1" applyBorder="1"/>
    <x:xf numFmtId="0" fontId="4" fillId="0" borderId="0" xfId="0" applyNumberFormat="1" applyFont="1" applyFill="1" applyBorder="1"/>
    <x:xf numFmtId="202" fontId="5" fillId="0" borderId="0" xfId="0" applyNumberFormat="1" applyFont="1" applyFill="1" applyBorder="1"/>
    <x:xf numFmtId="0" fontId="0" fillId="4" borderId="0" xfId="0" applyNumberFormat="1" applyFont="1" applyFill="1" applyBorder="1"/>
    <x:xf numFmtId="0" fontId="7" fillId="4" borderId="0" xfId="0" applyNumberFormat="1" applyFont="1" applyFill="1" applyBorder="1"/>
    <x:xf numFmtId="0" fontId="7" fillId="4" borderId="0" xfId="0" applyNumberFormat="1" applyFont="1" applyFill="1" applyBorder="1" applyAlignment="1">
      <x:alignment wrapText="1"/>
    </x:xf>
    <x:xf numFmtId="0" fontId="0" fillId="5" borderId="0" xfId="0" applyNumberFormat="1" applyFont="1" applyFill="1" applyBorder="1" applyAlignment="1">
      <x:alignment wrapText="1"/>
    </x:xf>
    <x:xf numFmtId="0" fontId="1" fillId="5" borderId="0" xfId="0" applyNumberFormat="1" applyFont="1" applyFill="1" applyBorder="1" applyAlignment="1">
      <x:alignment wrapText="1"/>
    </x:xf>
  </x:cellXfs>
  <x:cellStyles count="1">
    <x:cellStyle name="Normal" xfId="0"/>
  </x:cellStyles>
  <x:dxfs count="2">
    <x:dxf>
      <x:fill>
        <x:patternFill>
          <x:bgColor rgb="FFFFF2CC"/>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f86db45753f44ee" /><Relationship Type="http://schemas.openxmlformats.org/officeDocument/2006/relationships/theme" Target="/xl/theme/theme1.xml" Id="R4db8b99f856147e4" /><Relationship Type="http://schemas.openxmlformats.org/officeDocument/2006/relationships/sharedStrings" Target="/xl/sharedStrings.xml" Id="Rfbca1051a0e74ec5" /><Relationship Type="http://schemas.openxmlformats.org/officeDocument/2006/relationships/worksheet" Target="/xl/worksheets/sheet1.xml" Id="Ree6d6925a6af4bd5" /><Relationship Type="http://schemas.openxmlformats.org/officeDocument/2006/relationships/worksheet" Target="/xl/worksheets/sheet2.xml" Id="Rbbab26e6345d4182" /><Relationship Type="http://schemas.openxmlformats.org/officeDocument/2006/relationships/worksheet" Target="/xl/worksheets/sheet3.xml" Id="R94a8d1d90b9a4669" /><Relationship Type="http://schemas.openxmlformats.org/officeDocument/2006/relationships/worksheet" Target="/xl/worksheets/sheet4.xml" Id="R98aa264f57e44ee5" /></Relationships>
</file>

<file path=xl/drawings/_rels/drawing1.xml.rels>&#65279;<?xml version="1.0" encoding="utf-8"?><Relationships xmlns="http://schemas.openxmlformats.org/package/2006/relationships"><Relationship Type="http://schemas.openxmlformats.org/officeDocument/2006/relationships/chart" Target="/xl/drawings/charts/chart1.xml" Id="Rc50587dbb858495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Fashion Empire attributable value</a:t>
            </a:r>
          </a:p>
        </c:rich>
      </c:tx>
    </c:title>
    <c:plotArea>
      <c:barChart>
        <c:barDir val="col"/>
        <c:varyColors val="0"/>
        <c:ser>
          <c:idx val="0"/>
          <c:order val="0"/>
          <c:tx>
            <c:v>Attributable value ($B)</c:v>
          </c:tx>
          <c:cat>
            <c:strRef>
              <c:f>'Summary'!$D$4:$D$6</c:f>
              <c:strCache>
                <c:ptCount val="0"/>
              </c:strCache>
            </c:strRef>
          </c:cat>
          <c:val>
            <c:numRef>
              <c:f>'Summary'!$E$4:$E$6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7</xdr:row>
      <xdr:rowOff>0</xdr:rowOff>
    </xdr:from>
    <xdr:to>
      <xdr:col>10</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50587dbb858495e"/>
        </a:graphicData>
      </a:graphic>
    </xdr:graphicFrame>
    <xdr:clientData/>
  </xdr:twoCellAnchor>
</xdr:wsDr>
</file>

<file path=xl/tables/table1.xml><?xml version="1.0" encoding="utf-8"?>
<x:table xmlns:x="http://schemas.openxmlformats.org/spreadsheetml/2006/main" id="3" name="FashionEmpireValuation" displayName="FashionEmpireValuation" ref="A1:N89" headerRowCount="1" totalsRowCount="0" totalsRowShown="0">
  <x:tableColumns count="14">
    <x:tableColumn id="1" name="Entity / Group"/>
    <x:tableColumn id="2" name="Key brands / assets in Jim map"/>
    <x:tableColumn id="3" name="Type"/>
    <x:tableColumn id="4" name="Valuation basis"/>
    <x:tableColumn id="5" name="Low value ($B)"/>
    <x:tableColumn id="6" name="Mid value ($B)"/>
    <x:tableColumn id="7" name="High value ($B)"/>
    <x:tableColumn id="8" name="Jim stake %"/>
    <x:tableColumn id="9" name="Low attributable ($B)"/>
    <x:tableColumn id="10" name="Mid attributable ($B)"/>
    <x:tableColumn id="11" name="High attributable ($B)"/>
    <x:tableColumn id="12" name="Treatment / overlap note"/>
    <x:tableColumn id="13" name="Confidence"/>
    <x:tableColumn id="14" name="Source / rationale"/>
  </x:tableColumns>
  <x:tableStyleInfo name="TableStyleMedium2" showFirstColumn="0" showLastColumn="0" showRowStripes="1" showColumnStripes="0"/>
</x:table>
</file>

<file path=xl/tables/table2.xml><?xml version="1.0" encoding="utf-8"?>
<x:table xmlns:x="http://schemas.openxmlformats.org/spreadsheetml/2006/main" id="2" name="ValuationAssumptions" displayName="ValuationAssumptions" ref="A1:D10" headerRowCount="1" totalsRowCount="0" totalsRowShown="0">
  <x:tableColumns count="4">
    <x:tableColumn id="1" name="Assumption"/>
    <x:tableColumn id="2" name="Value"/>
    <x:tableColumn id="3" name="Status"/>
    <x:tableColumn id="4" name="Notes"/>
  </x:tableColumns>
  <x:tableStyleInfo name="TableStyleMedium2" showFirstColumn="0" showLastColumn="0" showRowStripes="1" showColumnStripes="0"/>
</x:table>
</file>

<file path=xl/tables/table3.xml><?xml version="1.0" encoding="utf-8"?>
<x:table xmlns:x="http://schemas.openxmlformats.org/spreadsheetml/2006/main" id="4" name="ManicuredFingersTable" displayName="ManicuredFingersTable" ref="A3:N40" headerRowCount="1" totalsRowCount="0" totalsRowShown="0">
  <x:tableColumns count="14">
    <x:tableColumn id="1" name="Target / Group"/>
    <x:tableColumn id="2" name="Brands / reason"/>
    <x:tableColumn id="3" name="Pot"/>
    <x:tableColumn id="4" name="Valuation / EV ($B)"/>
    <x:tableColumn id="5" name="Jim stake %"/>
    <x:tableColumn id="6" name="Attributable value ($B)"/>
    <x:tableColumn id="7" name="Annual revenue ($B)"/>
    <x:tableColumn id="8" name="Jim-attributable revenue ($B)"/>
    <x:tableColumn id="9" name="Daily attributable revenue ($M)"/>
    <x:tableColumn id="10" name="Hat Fund used ($B)"/>
    <x:tableColumn id="11" name="Basis"/>
    <x:tableColumn id="12" name="Status"/>
    <x:tableColumn id="13" name="Source"/>
    <x:tableColumn id="14"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da8147e1bda413b" /></Relationships>
</file>

<file path=xl/worksheets/_rels/sheet2.xml.rels>&#65279;<?xml version="1.0" encoding="utf-8"?><Relationships xmlns="http://schemas.openxmlformats.org/package/2006/relationships"><Relationship Type="http://schemas.openxmlformats.org/officeDocument/2006/relationships/table" Target="/xl/tables/table2.xml" Id="Re179b6a9cb574296" /></Relationships>
</file>

<file path=xl/worksheets/_rels/sheet3.xml.rels>&#65279;<?xml version="1.0" encoding="utf-8"?><Relationships xmlns="http://schemas.openxmlformats.org/package/2006/relationships"><Relationship Type="http://schemas.openxmlformats.org/officeDocument/2006/relationships/drawing" Target="/xl/drawings/drawing1.xml" Id="R42b70d9975234e61" /></Relationships>
</file>

<file path=xl/worksheets/_rels/sheet4.xml.rels>&#65279;<?xml version="1.0" encoding="utf-8"?><Relationships xmlns="http://schemas.openxmlformats.org/package/2006/relationships"><Relationship Type="http://schemas.openxmlformats.org/officeDocument/2006/relationships/table" Target="/xl/tables/table3.xml" Id="R10c7dd69be7e4788" /></Relationships>
</file>

<file path=xl/worksheets/sheet1.xml><?xml version="1.0" encoding="utf-8"?>
<x:worksheet xmlns:x="http://schemas.openxmlformats.org/spreadsheetml/2006/main">
  <x:sheetFormatPr defaultRowHeight="15"/>
  <x:cols>
    <x:col min="1" max="1" width="24" hidden="0" customWidth="1"/>
    <x:col min="2" max="2" width="42" hidden="0" customWidth="1"/>
    <x:col min="3" max="3" width="20" hidden="0" customWidth="1"/>
    <x:col min="4" max="4" width="30" hidden="0" customWidth="1"/>
    <x:col min="5" max="5" width="14" hidden="0" customWidth="1"/>
    <x:col min="6" max="6" width="14" hidden="0" customWidth="1"/>
    <x:col min="7" max="7" width="14" hidden="0" customWidth="1"/>
    <x:col min="8" max="8" width="12" hidden="0" customWidth="1"/>
    <x:col min="9" max="9" width="17" hidden="0" customWidth="1"/>
    <x:col min="10" max="10" width="17" hidden="0" customWidth="1"/>
    <x:col min="11" max="11" width="17" hidden="0" customWidth="1"/>
    <x:col min="12" max="12" width="48" hidden="0" customWidth="1"/>
    <x:col min="13" max="13" width="15" hidden="0" customWidth="1"/>
    <x:col min="14" max="14" width="52" hidden="0" customWidth="1"/>
  </x:cols>
  <x:sheetData>
    <x:row r="1">
      <x:c r="A1" s="6" t="str">
        <x:v>Entity / Group</x:v>
      </x:c>
      <x:c r="B1" s="6" t="str">
        <x:v>Key brands / assets in Jim map</x:v>
      </x:c>
      <x:c r="C1" s="6" t="str">
        <x:v>Type</x:v>
      </x:c>
      <x:c r="D1" s="6" t="str">
        <x:v>Valuation basis</x:v>
      </x:c>
      <x:c r="E1" s="6" t="str">
        <x:v>Low value ($B)</x:v>
      </x:c>
      <x:c r="F1" s="6" t="str">
        <x:v>Mid value ($B)</x:v>
      </x:c>
      <x:c r="G1" s="6" t="str">
        <x:v>High value ($B)</x:v>
      </x:c>
      <x:c r="H1" s="6" t="str">
        <x:v>Jim stake %</x:v>
      </x:c>
      <x:c r="I1" s="6" t="str">
        <x:v>Low attributable ($B)</x:v>
      </x:c>
      <x:c r="J1" s="6" t="str">
        <x:v>Mid attributable ($B)</x:v>
      </x:c>
      <x:c r="K1" s="6" t="str">
        <x:v>High attributable ($B)</x:v>
      </x:c>
      <x:c r="L1" s="6" t="str">
        <x:v>Treatment / overlap note</x:v>
      </x:c>
      <x:c r="M1" s="6" t="str">
        <x:v>Confidence</x:v>
      </x:c>
      <x:c r="N1" s="6" t="str">
        <x:v>Source / rationale</x:v>
      </x:c>
    </x:row>
    <x:row r="2">
      <x:c r="A2" s="28" t="str">
        <x:v>LVMH</x:v>
      </x:c>
      <x:c r="B2" s="28" t="str">
        <x:v>Louis Vuitton, Dior, Fendi, Givenchy, Céline, Loewe, Kenzo, Marc Jacobs, Rimowa, Berluti, Patou, Moynat, Guerlain</x:v>
      </x:c>
      <x:c r="C2" s="28" t="str">
        <x:v>Public parent</x:v>
      </x:c>
      <x:c r="D2" s="28" t="str">
        <x:v>Sep-2026 market cap</x:v>
      </x:c>
      <x:c r="E2" s="29" t="n">
        <x:v>236.03</x:v>
      </x:c>
      <x:c r="F2" s="29" t="n">
        <x:v>236.03</x:v>
      </x:c>
      <x:c r="G2" s="29" t="n">
        <x:v>236.03</x:v>
      </x:c>
      <x:c r="H2" s="30" t="n">
        <x:v>0.51</x:v>
      </x:c>
      <x:c r="I2" s="31" t="n">
        <x:f>E2*H2</x:f>
        <x:v>120.3753</x:v>
      </x:c>
      <x:c r="J2" s="31" t="n">
        <x:f>F2*H2</x:f>
        <x:v>120.3753</x:v>
      </x:c>
      <x:c r="K2" s="31" t="n">
        <x:f>G2*H2</x:f>
        <x:v>120.3753</x:v>
      </x:c>
      <x:c r="L2" s="28" t="str">
        <x:v>Count parent once; do NOT separately value LVMH child brands</x:v>
      </x:c>
      <x:c r="M2" s="28" t="str">
        <x:v>High</x:v>
      </x:c>
      <x:c r="N2" s="28" t="str">
        <x:v>https://companiesmarketcap.com/lvmh/marketcap/</x:v>
      </x:c>
    </x:row>
    <x:row r="3">
      <x:c r="A3" s="28" t="str">
        <x:v>Kering</x:v>
      </x:c>
      <x:c r="B3" s="28" t="str">
        <x:v>Gucci, Saint Laurent, Balenciaga, Bottega Veneta, Alexander McQueen, Brioni</x:v>
      </x:c>
      <x:c r="C3" s="28" t="str">
        <x:v>Public parent</x:v>
      </x:c>
      <x:c r="D3" s="28" t="str">
        <x:v>Sep-2026 working market cap</x:v>
      </x:c>
      <x:c r="E3" s="29" t="n">
        <x:v>33.12</x:v>
      </x:c>
      <x:c r="F3" s="29" t="n">
        <x:v>33.12</x:v>
      </x:c>
      <x:c r="G3" s="29" t="n">
        <x:v>33.12</x:v>
      </x:c>
      <x:c r="H3" s="30" t="n">
        <x:v>0.51</x:v>
      </x:c>
      <x:c r="I3" s="31" t="n">
        <x:f>E3*H3</x:f>
        <x:v>16.891199999999998</x:v>
      </x:c>
      <x:c r="J3" s="31" t="n">
        <x:f>F3*H3</x:f>
        <x:v>16.891199999999998</x:v>
      </x:c>
      <x:c r="K3" s="31" t="n">
        <x:f>G3*H3</x:f>
        <x:v>16.891199999999998</x:v>
      </x:c>
      <x:c r="L3" s="28" t="str">
        <x:v>Count parent once; Valentino overlap must be audited</x:v>
      </x:c>
      <x:c r="M3" s="28" t="str">
        <x:v>High</x:v>
      </x:c>
      <x:c r="N3" s="28" t="str">
        <x:v>Current Sep-2026 market-cap working input</x:v>
      </x:c>
    </x:row>
    <x:row r="4">
      <x:c r="A4" s="28" t="str">
        <x:v>Richemont</x:v>
      </x:c>
      <x:c r="B4" s="28" t="str">
        <x:v>Alaïa, Chloé, Delvaux, Cartier, Van Cleef &amp; Arpels</x:v>
      </x:c>
      <x:c r="C4" s="28" t="str">
        <x:v>Public parent</x:v>
      </x:c>
      <x:c r="D4" s="28" t="str">
        <x:v>Sep-9-2026 market cap</x:v>
      </x:c>
      <x:c r="E4" s="29" t="n">
        <x:v>115.14</x:v>
      </x:c>
      <x:c r="F4" s="29" t="n">
        <x:v>115.14</x:v>
      </x:c>
      <x:c r="G4" s="29" t="n">
        <x:v>115.14</x:v>
      </x:c>
      <x:c r="H4" s="30" t="n">
        <x:v>0.3</x:v>
      </x:c>
      <x:c r="I4" s="31" t="n">
        <x:f>E4*H4</x:f>
        <x:v>34.542</x:v>
      </x:c>
      <x:c r="J4" s="31" t="n">
        <x:f>F4*H4</x:f>
        <x:v>34.542</x:v>
      </x:c>
      <x:c r="K4" s="31" t="n">
        <x:f>G4*H4</x:f>
        <x:v>34.542</x:v>
      </x:c>
      <x:c r="L4" s="28" t="str">
        <x:v>Count parent once; no child-brand double count</x:v>
      </x:c>
      <x:c r="M4" s="28" t="str">
        <x:v>High</x:v>
      </x:c>
      <x:c r="N4" s="28" t="str">
        <x:v>https://ycharts.com/companies/CFRUY/market_cap</x:v>
      </x:c>
    </x:row>
    <x:row r="5">
      <x:c r="A5" s="28" t="str">
        <x:v>Prada Group</x:v>
      </x:c>
      <x:c r="B5" s="28" t="str">
        <x:v>Prada, Miu Miu, Versace</x:v>
      </x:c>
      <x:c r="C5" s="28" t="str">
        <x:v>Public parent</x:v>
      </x:c>
      <x:c r="D5" s="28" t="str">
        <x:v>Sep-2026 market cap</x:v>
      </x:c>
      <x:c r="E5" s="29" t="n">
        <x:v>12.52</x:v>
      </x:c>
      <x:c r="F5" s="29" t="n">
        <x:v>12.52</x:v>
      </x:c>
      <x:c r="G5" s="29" t="n">
        <x:v>12.52</x:v>
      </x:c>
      <x:c r="H5" s="30" t="n">
        <x:v>0.51</x:v>
      </x:c>
      <x:c r="I5" s="31" t="n">
        <x:f>E5*H5</x:f>
        <x:v>6.3852</x:v>
      </x:c>
      <x:c r="J5" s="31" t="n">
        <x:f>F5*H5</x:f>
        <x:v>6.3852</x:v>
      </x:c>
      <x:c r="K5" s="31" t="n">
        <x:f>G5*H5</x:f>
        <x:v>6.3852</x:v>
      </x:c>
      <x:c r="L5" s="28" t="str">
        <x:v>Count parent once</x:v>
      </x:c>
      <x:c r="M5" s="28" t="str">
        <x:v>High</x:v>
      </x:c>
      <x:c r="N5" s="28" t="str">
        <x:v>https://companiesmarketcap.com/prada/marketcap/</x:v>
      </x:c>
    </x:row>
    <x:row r="6">
      <x:c r="A6" s="28" t="str">
        <x:v>Puig</x:v>
      </x:c>
      <x:c r="B6" s="28" t="str">
        <x:v>Jean Paul Gaultier, Dries Van Noten, Carolina Herrera, Nina Ricci, Rabanne</x:v>
      </x:c>
      <x:c r="C6" s="28" t="str">
        <x:v>Public parent</x:v>
      </x:c>
      <x:c r="D6" s="28" t="str">
        <x:v>Sep-2026 market cap</x:v>
      </x:c>
      <x:c r="E6" s="29" t="n">
        <x:v>11.7</x:v>
      </x:c>
      <x:c r="F6" s="29" t="n">
        <x:v>11.7</x:v>
      </x:c>
      <x:c r="G6" s="29" t="n">
        <x:v>11.7</x:v>
      </x:c>
      <x:c r="H6" s="30" t="n">
        <x:v>0.3</x:v>
      </x:c>
      <x:c r="I6" s="31" t="n">
        <x:f>E6*H6</x:f>
        <x:v>3.51</x:v>
      </x:c>
      <x:c r="J6" s="31" t="n">
        <x:f>F6*H6</x:f>
        <x:v>3.51</x:v>
      </x:c>
      <x:c r="K6" s="31" t="n">
        <x:f>G6*H6</x:f>
        <x:v>3.51</x:v>
      </x:c>
      <x:c r="L6" s="28" t="str">
        <x:v>Count parent once</x:v>
      </x:c>
      <x:c r="M6" s="28" t="str">
        <x:v>High</x:v>
      </x:c>
      <x:c r="N6" s="28" t="str">
        <x:v>https://companiesmarketcap.com/puig-brands/marketcap/</x:v>
      </x:c>
    </x:row>
    <x:row r="7">
      <x:c r="A7" s="28" t="str">
        <x:v>Tapestry</x:v>
      </x:c>
      <x:c r="B7" s="28" t="str">
        <x:v>Coach; source map also grouped Thom Browne</x:v>
      </x:c>
      <x:c r="C7" s="28" t="str">
        <x:v>Public parent</x:v>
      </x:c>
      <x:c r="D7" s="28" t="str">
        <x:v>Sep-2026 market cap</x:v>
      </x:c>
      <x:c r="E7" s="29" t="n">
        <x:v>22.67</x:v>
      </x:c>
      <x:c r="F7" s="29" t="n">
        <x:v>22.67</x:v>
      </x:c>
      <x:c r="G7" s="29" t="n">
        <x:v>22.67</x:v>
      </x:c>
      <x:c r="H7" s="30" t="n">
        <x:v>0.3</x:v>
      </x:c>
      <x:c r="I7" s="31" t="n">
        <x:f>E7*H7</x:f>
        <x:v>6.801</x:v>
      </x:c>
      <x:c r="J7" s="31" t="n">
        <x:f>F7*H7</x:f>
        <x:v>6.801</x:v>
      </x:c>
      <x:c r="K7" s="31" t="n">
        <x:f>G7*H7</x:f>
        <x:v>6.801</x:v>
      </x:c>
      <x:c r="L7" s="28" t="str">
        <x:v>Count parent once; source-map grouping needs canon audit</x:v>
      </x:c>
      <x:c r="M7" s="28" t="str">
        <x:v>High</x:v>
      </x:c>
      <x:c r="N7" s="28" t="str">
        <x:v>https://companiesmarketcap.com/tapestry/marketcap/</x:v>
      </x:c>
    </x:row>
    <x:row r="8">
      <x:c r="A8" s="28" t="str">
        <x:v>Capri Holdings</x:v>
      </x:c>
      <x:c r="B8" s="28" t="str">
        <x:v>Michael Kors, Jimmy Choo</x:v>
      </x:c>
      <x:c r="C8" s="28" t="str">
        <x:v>Public parent</x:v>
      </x:c>
      <x:c r="D8" s="28" t="str">
        <x:v>Sep-2026 market cap</x:v>
      </x:c>
      <x:c r="E8" s="29" t="n">
        <x:v>1.45</x:v>
      </x:c>
      <x:c r="F8" s="29" t="n">
        <x:v>1.45</x:v>
      </x:c>
      <x:c r="G8" s="29" t="n">
        <x:v>1.45</x:v>
      </x:c>
      <x:c r="H8" s="30" t="n">
        <x:v>0.3</x:v>
      </x:c>
      <x:c r="I8" s="31" t="n">
        <x:f>E8*H8</x:f>
        <x:v>0.435</x:v>
      </x:c>
      <x:c r="J8" s="31" t="n">
        <x:f>F8*H8</x:f>
        <x:v>0.435</x:v>
      </x:c>
      <x:c r="K8" s="31" t="n">
        <x:f>G8*H8</x:f>
        <x:v>0.435</x:v>
      </x:c>
      <x:c r="L8" s="28" t="str">
        <x:v>Count parent once; source-map grouping needs audit</x:v>
      </x:c>
      <x:c r="M8" s="28" t="str">
        <x:v>High</x:v>
      </x:c>
      <x:c r="N8" s="28" t="str">
        <x:v>https://companiesmarketcap.com/capri-holdings/marketcap/</x:v>
      </x:c>
    </x:row>
    <x:row r="9">
      <x:c r="A9" s="28" t="str">
        <x:v>PVH</x:v>
      </x:c>
      <x:c r="B9" s="28" t="str">
        <x:v>Tommy Hilfiger, Calvin Klein</x:v>
      </x:c>
      <x:c r="C9" s="28" t="str">
        <x:v>Public parent</x:v>
      </x:c>
      <x:c r="D9" s="28" t="str">
        <x:v>Working Sep-2026 market cap</x:v>
      </x:c>
      <x:c r="E9" s="29" t="n">
        <x:v>3.16</x:v>
      </x:c>
      <x:c r="F9" s="29" t="n">
        <x:v>3.16</x:v>
      </x:c>
      <x:c r="G9" s="29" t="n">
        <x:v>3.16</x:v>
      </x:c>
      <x:c r="H9" s="30" t="n">
        <x:v>0.3</x:v>
      </x:c>
      <x:c r="I9" s="31" t="n">
        <x:f>E9*H9</x:f>
        <x:v>0.948</x:v>
      </x:c>
      <x:c r="J9" s="31" t="n">
        <x:f>F9*H9</x:f>
        <x:v>0.948</x:v>
      </x:c>
      <x:c r="K9" s="31" t="n">
        <x:f>G9*H9</x:f>
        <x:v>0.948</x:v>
      </x:c>
      <x:c r="L9" s="28" t="str">
        <x:v>Count parent once</x:v>
      </x:c>
      <x:c r="M9" s="28" t="str">
        <x:v>Medium</x:v>
      </x:c>
      <x:c r="N9" s="28" t="str">
        <x:v>Working current-market input; refresh before canon lock</x:v>
      </x:c>
    </x:row>
    <x:row r="10">
      <x:c r="A10" s="28" t="str">
        <x:v>Estée Lauder</x:v>
      </x:c>
      <x:c r="B10" s="28" t="str">
        <x:v>Tom Ford Beauty, Le Labo, MALIN+GOETZ</x:v>
      </x:c>
      <x:c r="C10" s="28" t="str">
        <x:v>Public parent</x:v>
      </x:c>
      <x:c r="D10" s="28" t="str">
        <x:v>Sep-2026 market cap</x:v>
      </x:c>
      <x:c r="E10" s="29" t="n">
        <x:v>36.79</x:v>
      </x:c>
      <x:c r="F10" s="29" t="n">
        <x:v>36.79</x:v>
      </x:c>
      <x:c r="G10" s="29" t="n">
        <x:v>36.79</x:v>
      </x:c>
      <x:c r="H10" s="30" t="n">
        <x:v>0.51</x:v>
      </x:c>
      <x:c r="I10" s="31" t="n">
        <x:f>E10*H10</x:f>
        <x:v>18.7629</x:v>
      </x:c>
      <x:c r="J10" s="31" t="n">
        <x:f>F10*H10</x:f>
        <x:v>18.7629</x:v>
      </x:c>
      <x:c r="K10" s="31" t="n">
        <x:f>G10*H10</x:f>
        <x:v>18.7629</x:v>
      </x:c>
      <x:c r="L10" s="28" t="str">
        <x:v>Count parent once; Tom Ford fashion-side structure needs audit</x:v>
      </x:c>
      <x:c r="M10" s="28" t="str">
        <x:v>High</x:v>
      </x:c>
      <x:c r="N10" s="28" t="str">
        <x:v>https://companiesmarketcap.com/estee-lauder/marketcap/</x:v>
      </x:c>
    </x:row>
    <x:row r="11">
      <x:c r="A11" s="28" t="str">
        <x:v>Hermès</x:v>
      </x:c>
      <x:c r="B11" s="28" t="str">
        <x:v>Hermès</x:v>
      </x:c>
      <x:c r="C11" s="28" t="str">
        <x:v>Public independent</x:v>
      </x:c>
      <x:c r="D11" s="28" t="str">
        <x:v>Sep-2026 market cap</x:v>
      </x:c>
      <x:c r="E11" s="29" t="n">
        <x:v>171.82</x:v>
      </x:c>
      <x:c r="F11" s="29" t="n">
        <x:v>171.82</x:v>
      </x:c>
      <x:c r="G11" s="29" t="n">
        <x:v>171.82</x:v>
      </x:c>
      <x:c r="H11" s="30" t="n">
        <x:v>0.51</x:v>
      </x:c>
      <x:c r="I11" s="31" t="n">
        <x:f>E11*H11</x:f>
        <x:v>87.62819999999999</x:v>
      </x:c>
      <x:c r="J11" s="31" t="n">
        <x:f>F11*H11</x:f>
        <x:v>87.62819999999999</x:v>
      </x:c>
      <x:c r="K11" s="31" t="n">
        <x:f>G11*H11</x:f>
        <x:v>87.62819999999999</x:v>
      </x:c>
      <x:c r="L11" s="28" t="str">
        <x:v>Direct house stake</x:v>
      </x:c>
      <x:c r="M11" s="28" t="str">
        <x:v>High</x:v>
      </x:c>
      <x:c r="N11" s="28" t="str">
        <x:v>https://companiesmarketcap.com/hermes-international/marketcap/</x:v>
      </x:c>
    </x:row>
    <x:row r="12">
      <x:c r="A12" s="28" t="str">
        <x:v>Burberry</x:v>
      </x:c>
      <x:c r="B12" s="28" t="str">
        <x:v>Burberry</x:v>
      </x:c>
      <x:c r="C12" s="28" t="str">
        <x:v>Public independent</x:v>
      </x:c>
      <x:c r="D12" s="28" t="str">
        <x:v>Sep-2026 market cap</x:v>
      </x:c>
      <x:c r="E12" s="29" t="n">
        <x:v>5.02</x:v>
      </x:c>
      <x:c r="F12" s="29" t="n">
        <x:v>5.02</x:v>
      </x:c>
      <x:c r="G12" s="29" t="n">
        <x:v>5.02</x:v>
      </x:c>
      <x:c r="H12" s="30" t="n">
        <x:v>0.3</x:v>
      </x:c>
      <x:c r="I12" s="31" t="n">
        <x:f>E12*H12</x:f>
        <x:v>1.5059999999999998</x:v>
      </x:c>
      <x:c r="J12" s="31" t="n">
        <x:f>F12*H12</x:f>
        <x:v>1.5059999999999998</x:v>
      </x:c>
      <x:c r="K12" s="31" t="n">
        <x:f>G12*H12</x:f>
        <x:v>1.5059999999999998</x:v>
      </x:c>
      <x:c r="L12" s="28" t="str">
        <x:v>Direct house stake</x:v>
      </x:c>
      <x:c r="M12" s="28" t="str">
        <x:v>High</x:v>
      </x:c>
      <x:c r="N12" s="28" t="str">
        <x:v>https://companiesmarketcap.com/burberry/marketcap/</x:v>
      </x:c>
    </x:row>
    <x:row r="13">
      <x:c r="A13" s="28" t="str">
        <x:v>Moncler</x:v>
      </x:c>
      <x:c r="B13" s="28" t="str">
        <x:v>Moncler</x:v>
      </x:c>
      <x:c r="C13" s="28" t="str">
        <x:v>Public independent</x:v>
      </x:c>
      <x:c r="D13" s="28" t="str">
        <x:v>Sep-2026 market cap</x:v>
      </x:c>
      <x:c r="E13" s="29" t="n">
        <x:v>14.42</x:v>
      </x:c>
      <x:c r="F13" s="29" t="n">
        <x:v>14.42</x:v>
      </x:c>
      <x:c r="G13" s="29" t="n">
        <x:v>14.42</x:v>
      </x:c>
      <x:c r="H13" s="30" t="n">
        <x:v>0.3</x:v>
      </x:c>
      <x:c r="I13" s="31" t="n">
        <x:f>E13*H13</x:f>
        <x:v>4.326</x:v>
      </x:c>
      <x:c r="J13" s="31" t="n">
        <x:f>F13*H13</x:f>
        <x:v>4.326</x:v>
      </x:c>
      <x:c r="K13" s="31" t="n">
        <x:f>G13*H13</x:f>
        <x:v>4.326</x:v>
      </x:c>
      <x:c r="L13" s="28" t="str">
        <x:v>Direct house stake</x:v>
      </x:c>
      <x:c r="M13" s="28" t="str">
        <x:v>High</x:v>
      </x:c>
      <x:c r="N13" s="28" t="str">
        <x:v>https://companiesmarketcap.com/moncler/marketcap/</x:v>
      </x:c>
    </x:row>
    <x:row r="14">
      <x:c r="A14" s="28" t="str">
        <x:v>Ralph Lauren</x:v>
      </x:c>
      <x:c r="B14" s="28" t="str">
        <x:v>Ralph Lauren</x:v>
      </x:c>
      <x:c r="C14" s="28" t="str">
        <x:v>Public independent</x:v>
      </x:c>
      <x:c r="D14" s="28" t="str">
        <x:v>Sep-10-2026 market cap</x:v>
      </x:c>
      <x:c r="E14" s="29" t="n">
        <x:v>20.5</x:v>
      </x:c>
      <x:c r="F14" s="29" t="n">
        <x:v>20.5</x:v>
      </x:c>
      <x:c r="G14" s="29" t="n">
        <x:v>20.5</x:v>
      </x:c>
      <x:c r="H14" s="30" t="n">
        <x:v>0.3</x:v>
      </x:c>
      <x:c r="I14" s="31" t="n">
        <x:f>E14*H14</x:f>
        <x:v>6.1499999999999995</x:v>
      </x:c>
      <x:c r="J14" s="31" t="n">
        <x:f>F14*H14</x:f>
        <x:v>6.1499999999999995</x:v>
      </x:c>
      <x:c r="K14" s="31" t="n">
        <x:f>G14*H14</x:f>
        <x:v>6.1499999999999995</x:v>
      </x:c>
      <x:c r="L14" s="28" t="str">
        <x:v>Direct house stake</x:v>
      </x:c>
      <x:c r="M14" s="28" t="str">
        <x:v>High</x:v>
      </x:c>
      <x:c r="N14" s="28" t="str">
        <x:v>https://capital.com/en-int/markets/shares/ralph-lauren-share-price/market-cap</x:v>
      </x:c>
    </x:row>
    <x:row r="15">
      <x:c r="A15" s="28" t="str">
        <x:v>Ferragamo</x:v>
      </x:c>
      <x:c r="B15" s="28" t="str">
        <x:v>Salvatore Ferragamo</x:v>
      </x:c>
      <x:c r="C15" s="28" t="str">
        <x:v>Public independent</x:v>
      </x:c>
      <x:c r="D15" s="28" t="str">
        <x:v>Sep-2026 market cap</x:v>
      </x:c>
      <x:c r="E15" s="29" t="n">
        <x:v>1.64</x:v>
      </x:c>
      <x:c r="F15" s="29" t="n">
        <x:v>1.64</x:v>
      </x:c>
      <x:c r="G15" s="29" t="n">
        <x:v>1.64</x:v>
      </x:c>
      <x:c r="H15" s="30" t="n">
        <x:v>0.3</x:v>
      </x:c>
      <x:c r="I15" s="31" t="n">
        <x:f>E15*H15</x:f>
        <x:v>0.49199999999999994</x:v>
      </x:c>
      <x:c r="J15" s="31" t="n">
        <x:f>F15*H15</x:f>
        <x:v>0.49199999999999994</x:v>
      </x:c>
      <x:c r="K15" s="31" t="n">
        <x:f>G15*H15</x:f>
        <x:v>0.49199999999999994</x:v>
      </x:c>
      <x:c r="L15" s="28" t="str">
        <x:v>Direct house stake</x:v>
      </x:c>
      <x:c r="M15" s="28" t="str">
        <x:v>High</x:v>
      </x:c>
      <x:c r="N15" s="28" t="str">
        <x:v>https://companiesmarketcap.com/salvatore-ferragamo/marketcap/</x:v>
      </x:c>
    </x:row>
    <x:row r="16">
      <x:c r="A16" s="28" t="str">
        <x:v>Brunello Cucinelli</x:v>
      </x:c>
      <x:c r="B16" s="28" t="str">
        <x:v>Brunello Cucinelli</x:v>
      </x:c>
      <x:c r="C16" s="28" t="str">
        <x:v>Public independent</x:v>
      </x:c>
      <x:c r="D16" s="28" t="str">
        <x:v>Sep-2026 market cap</x:v>
      </x:c>
      <x:c r="E16" s="29" t="n">
        <x:v>6.21</x:v>
      </x:c>
      <x:c r="F16" s="29" t="n">
        <x:v>6.21</x:v>
      </x:c>
      <x:c r="G16" s="29" t="n">
        <x:v>6.21</x:v>
      </x:c>
      <x:c r="H16" s="30" t="n">
        <x:v>0.3</x:v>
      </x:c>
      <x:c r="I16" s="31" t="n">
        <x:f>E16*H16</x:f>
        <x:v>1.863</x:v>
      </x:c>
      <x:c r="J16" s="31" t="n">
        <x:f>F16*H16</x:f>
        <x:v>1.863</x:v>
      </x:c>
      <x:c r="K16" s="31" t="n">
        <x:f>G16*H16</x:f>
        <x:v>1.863</x:v>
      </x:c>
      <x:c r="L16" s="28" t="str">
        <x:v>Direct house stake</x:v>
      </x:c>
      <x:c r="M16" s="28" t="str">
        <x:v>High</x:v>
      </x:c>
      <x:c r="N16" s="28" t="str">
        <x:v>https://companiesmarketcap.com/brunello-cucinelli/marketcap/</x:v>
      </x:c>
    </x:row>
    <x:row r="17">
      <x:c r="A17" s="28" t="str">
        <x:v>Zegna Group</x:v>
      </x:c>
      <x:c r="B17" s="28" t="str">
        <x:v>Zegna; real-world parent of Thom Browne</x:v>
      </x:c>
      <x:c r="C17" s="28" t="str">
        <x:v>Public parent</x:v>
      </x:c>
      <x:c r="D17" s="28" t="str">
        <x:v>Sep-2026 market cap</x:v>
      </x:c>
      <x:c r="E17" s="29" t="n">
        <x:v>4.95</x:v>
      </x:c>
      <x:c r="F17" s="29" t="n">
        <x:v>4.95</x:v>
      </x:c>
      <x:c r="G17" s="29" t="n">
        <x:v>4.95</x:v>
      </x:c>
      <x:c r="H17" s="30" t="n">
        <x:v>0.3</x:v>
      </x:c>
      <x:c r="I17" s="31" t="n">
        <x:f>E17*H17</x:f>
        <x:v>1.485</x:v>
      </x:c>
      <x:c r="J17" s="31" t="n">
        <x:f>F17*H17</x:f>
        <x:v>1.485</x:v>
      </x:c>
      <x:c r="K17" s="31" t="n">
        <x:f>G17*H17</x:f>
        <x:v>1.485</x:v>
      </x:c>
      <x:c r="L17" s="28" t="str">
        <x:v>Use parent once; source-map Thom Browne placement requires reconciliation</x:v>
      </x:c>
      <x:c r="M17" s="28" t="str">
        <x:v>High</x:v>
      </x:c>
      <x:c r="N17" s="28" t="str">
        <x:v>https://companiesmarketcap.com/ermenegildo-zegna/marketcap/</x:v>
      </x:c>
    </x:row>
    <x:row r="18">
      <x:c r="A18" s="28" t="str">
        <x:v>Chanel</x:v>
      </x:c>
      <x:c r="B18" s="28" t="str">
        <x:v>Chanel</x:v>
      </x:c>
      <x:c r="C18" s="28" t="str">
        <x:v>Private independent</x:v>
      </x:c>
      <x:c r="D18" s="28" t="str">
        <x:v>2025 revenue/EBITDA + luxury multiple hypothesis</x:v>
      </x:c>
      <x:c r="E18" s="29" t="n">
        <x:v>45</x:v>
      </x:c>
      <x:c r="F18" s="29" t="n">
        <x:v>55</x:v>
      </x:c>
      <x:c r="G18" s="29" t="n">
        <x:v>70</x:v>
      </x:c>
      <x:c r="H18" s="30" t="n">
        <x:v>0.51</x:v>
      </x:c>
      <x:c r="I18" s="31" t="n">
        <x:f>E18*H18</x:f>
        <x:v>22.95</x:v>
      </x:c>
      <x:c r="J18" s="31" t="n">
        <x:f>F18*H18</x:f>
        <x:v>28.05</x:v>
      </x:c>
      <x:c r="K18" s="31" t="n">
        <x:f>G18*H18</x:f>
        <x:v>35.7</x:v>
      </x:c>
      <x:c r="L18" s="28" t="str">
        <x:v>Hypothesis range</x:v>
      </x:c>
      <x:c r="M18" s="28" t="str">
        <x:v>Medium</x:v>
      </x:c>
      <x:c r="N18" s="28" t="str">
        <x:v>https://www.chanel.com/puls-img/1779118002743-fy25-results-press-release-en-final.pdf</x:v>
      </x:c>
    </x:row>
    <x:row r="19">
      <x:c r="A19" s="28" t="str">
        <x:v>Armani</x:v>
      </x:c>
      <x:c r="B19" s="28" t="str">
        <x:v>Giorgio Armani</x:v>
      </x:c>
      <x:c r="C19" s="28" t="str">
        <x:v>Private independent</x:v>
      </x:c>
      <x:c r="D19" s="28" t="str">
        <x:v>Sep-2026 analyst valuation range</x:v>
      </x:c>
      <x:c r="E19" s="29" t="n">
        <x:v>5</x:v>
      </x:c>
      <x:c r="F19" s="29" t="n">
        <x:v>6</x:v>
      </x:c>
      <x:c r="G19" s="29" t="n">
        <x:v>7</x:v>
      </x:c>
      <x:c r="H19" s="30" t="n">
        <x:v>0.51</x:v>
      </x:c>
      <x:c r="I19" s="31" t="n">
        <x:f>E19*H19</x:f>
        <x:v>2.55</x:v>
      </x:c>
      <x:c r="J19" s="31" t="n">
        <x:f>F19*H19</x:f>
        <x:v>3.06</x:v>
      </x:c>
      <x:c r="K19" s="31" t="n">
        <x:f>G19*H19</x:f>
        <x:v>3.5700000000000003</x:v>
      </x:c>
      <x:c r="L19" s="28" t="str">
        <x:v>Direct house stake</x:v>
      </x:c>
      <x:c r="M19" s="28" t="str">
        <x:v>High</x:v>
      </x:c>
      <x:c r="N19" s="28" t="str">
        <x:v>https://www.reuters.com/business/retail-consumer/one-year-after-its-founders-death-armani-faces-challenge-inevitable-evolution-2026-09-04/</x:v>
      </x:c>
    </x:row>
    <x:row r="20">
      <x:c r="A20" s="28" t="str">
        <x:v>Valentino</x:v>
      </x:c>
      <x:c r="B20" s="28" t="str">
        <x:v>Valentino</x:v>
      </x:c>
      <x:c r="C20" s="28" t="str">
        <x:v>Private / strategic stake</x:v>
      </x:c>
      <x:c r="D20" s="28" t="str">
        <x:v>2023 30% sale for €1.7B; translated/bracketed</x:v>
      </x:c>
      <x:c r="E20" s="29" t="n">
        <x:v>5.5</x:v>
      </x:c>
      <x:c r="F20" s="29" t="n">
        <x:v>6.5</x:v>
      </x:c>
      <x:c r="G20" s="29" t="n">
        <x:v>7.5</x:v>
      </x:c>
      <x:c r="H20" s="30" t="n">
        <x:v>0.3</x:v>
      </x:c>
      <x:c r="I20" s="31" t="n">
        <x:f>E20*H20</x:f>
        <x:v>1.65</x:v>
      </x:c>
      <x:c r="J20" s="31" t="n">
        <x:f>F20*H20</x:f>
        <x:v>1.95</x:v>
      </x:c>
      <x:c r="K20" s="31" t="n">
        <x:f>G20*H20</x:f>
        <x:v>2.25</x:v>
      </x:c>
      <x:c r="L20" s="28" t="str">
        <x:v>Potential Kering overlap; exclude if Jim exposure exists only through Kering</x:v>
      </x:c>
      <x:c r="M20" s="28" t="str">
        <x:v>Medium</x:v>
      </x:c>
      <x:c r="N20" s="28" t="str">
        <x:v>https://www.kering.com/en/news/kering-and-mayhoola-announce-that-kering-becomes-a-significant-a-shareholder-of-valentino-as-part-of-a-broader-strategic-partnership/</x:v>
      </x:c>
    </x:row>
    <x:row r="21">
      <x:c r="A21" s="28" t="str">
        <x:v>Christian Louboutin</x:v>
      </x:c>
      <x:c r="B21" s="28" t="str">
        <x:v>Christian Louboutin</x:v>
      </x:c>
      <x:c r="C21" s="28" t="str">
        <x:v>Private independent</x:v>
      </x:c>
      <x:c r="D21" s="28" t="str">
        <x:v>2023 Exor mark ~$3.2B</x:v>
      </x:c>
      <x:c r="E21" s="29" t="n">
        <x:v>2.8</x:v>
      </x:c>
      <x:c r="F21" s="29" t="n">
        <x:v>3.2</x:v>
      </x:c>
      <x:c r="G21" s="29" t="n">
        <x:v>4</x:v>
      </x:c>
      <x:c r="H21" s="30" t="n">
        <x:v>0.3</x:v>
      </x:c>
      <x:c r="I21" s="31" t="n">
        <x:f>E21*H21</x:f>
        <x:v>0.84</x:v>
      </x:c>
      <x:c r="J21" s="31" t="n">
        <x:f>F21*H21</x:f>
        <x:v>0.96</x:v>
      </x:c>
      <x:c r="K21" s="31" t="n">
        <x:f>G21*H21</x:f>
        <x:v>1.2</x:v>
      </x:c>
      <x:c r="L21" s="28" t="str">
        <x:v>Acquisition vs Patronage status unresolved</x:v>
      </x:c>
      <x:c r="M21" s="28" t="str">
        <x:v>Medium-High</x:v>
      </x:c>
      <x:c r="N21" s="28" t="str">
        <x:v>https://www.forbes.com/sites/giacomotognini/2024/04/01/christian-louboutin-net-worth-billionaire-shoe-designer/</x:v>
      </x:c>
    </x:row>
    <x:row r="22">
      <x:c r="A22" s="28" t="str">
        <x:v>Dolce &amp; Gabbana</x:v>
      </x:c>
      <x:c r="B22" s="28" t="str">
        <x:v>Dolce &amp; Gabbana</x:v>
      </x:c>
      <x:c r="C22" s="28" t="str">
        <x:v>Private independent</x:v>
      </x:c>
      <x:c r="D22" s="28" t="str">
        <x:v>Working luxury-house hypothesis</x:v>
      </x:c>
      <x:c r="E22" s="29" t="n">
        <x:v>5</x:v>
      </x:c>
      <x:c r="F22" s="29" t="n">
        <x:v>7</x:v>
      </x:c>
      <x:c r="G22" s="29" t="n">
        <x:v>10</x:v>
      </x:c>
      <x:c r="H22" s="30" t="n">
        <x:v>0.3</x:v>
      </x:c>
      <x:c r="I22" s="31" t="n">
        <x:f>E22*H22</x:f>
        <x:v>1.5</x:v>
      </x:c>
      <x:c r="J22" s="31" t="n">
        <x:f>F22*H22</x:f>
        <x:v>2.1</x:v>
      </x:c>
      <x:c r="K22" s="31" t="n">
        <x:f>G22*H22</x:f>
        <x:v>3</x:v>
      </x:c>
      <x:c r="L22" s="28" t="str">
        <x:v>Explicit hypothesis</x:v>
      </x:c>
      <x:c r="M22" s="28" t="str">
        <x:v>Low-Medium</x:v>
      </x:c>
      <x:c r="N22" s="28" t="str">
        <x:v>Model hypothesis</x:v>
      </x:c>
    </x:row>
    <x:row r="23">
      <x:c r="A23" s="28" t="str">
        <x:v>Max Mara</x:v>
      </x:c>
      <x:c r="B23" s="28" t="str">
        <x:v>Max Mara</x:v>
      </x:c>
      <x:c r="C23" s="28" t="str">
        <x:v>Private independent</x:v>
      </x:c>
      <x:c r="D23" s="28" t="str">
        <x:v>Working luxury-house hypothesis</x:v>
      </x:c>
      <x:c r="E23" s="29" t="n">
        <x:v>4</x:v>
      </x:c>
      <x:c r="F23" s="29" t="n">
        <x:v>6</x:v>
      </x:c>
      <x:c r="G23" s="29" t="n">
        <x:v>8</x:v>
      </x:c>
      <x:c r="H23" s="30" t="n">
        <x:v>0.3</x:v>
      </x:c>
      <x:c r="I23" s="31" t="n">
        <x:f>E23*H23</x:f>
        <x:v>1.2</x:v>
      </x:c>
      <x:c r="J23" s="31" t="n">
        <x:f>F23*H23</x:f>
        <x:v>1.7999999999999998</x:v>
      </x:c>
      <x:c r="K23" s="31" t="n">
        <x:f>G23*H23</x:f>
        <x:v>2.4</x:v>
      </x:c>
      <x:c r="L23" s="28" t="str">
        <x:v>Explicit hypothesis</x:v>
      </x:c>
      <x:c r="M23" s="28" t="str">
        <x:v>Low-Medium</x:v>
      </x:c>
      <x:c r="N23" s="28" t="str">
        <x:v>Model hypothesis</x:v>
      </x:c>
    </x:row>
    <x:row r="24">
      <x:c r="A24" s="28" t="str">
        <x:v>Goyard</x:v>
      </x:c>
      <x:c r="B24" s="28" t="str">
        <x:v>Goyard</x:v>
      </x:c>
      <x:c r="C24" s="28" t="str">
        <x:v>Private independent</x:v>
      </x:c>
      <x:c r="D24" s="28" t="str">
        <x:v>Scarcity / brand-strength hypothesis</x:v>
      </x:c>
      <x:c r="E24" s="29" t="n">
        <x:v>2</x:v>
      </x:c>
      <x:c r="F24" s="29" t="n">
        <x:v>3.5</x:v>
      </x:c>
      <x:c r="G24" s="29" t="n">
        <x:v>5</x:v>
      </x:c>
      <x:c r="H24" s="30" t="n">
        <x:v>0.3</x:v>
      </x:c>
      <x:c r="I24" s="31" t="n">
        <x:f>E24*H24</x:f>
        <x:v>0.6</x:v>
      </x:c>
      <x:c r="J24" s="31" t="n">
        <x:f>F24*H24</x:f>
        <x:v>1.05</x:v>
      </x:c>
      <x:c r="K24" s="31" t="n">
        <x:f>G24*H24</x:f>
        <x:v>1.5</x:v>
      </x:c>
      <x:c r="L24" s="28" t="str">
        <x:v>Likely Patronage/purist candidate</x:v>
      </x:c>
      <x:c r="M24" s="28" t="str">
        <x:v>Low</x:v>
      </x:c>
      <x:c r="N24" s="28" t="str">
        <x:v>Model hypothesis</x:v>
      </x:c>
    </x:row>
    <x:row r="25">
      <x:c r="A25" s="28" t="str">
        <x:v>Manolo Blahnik</x:v>
      </x:c>
      <x:c r="B25" s="28" t="str">
        <x:v>Manolo Blahnik</x:v>
      </x:c>
      <x:c r="C25" s="28" t="str">
        <x:v>Private independent</x:v>
      </x:c>
      <x:c r="D25" s="28" t="str">
        <x:v>Luxury footwear hypothesis</x:v>
      </x:c>
      <x:c r="E25" s="29" t="n">
        <x:v>0.8</x:v>
      </x:c>
      <x:c r="F25" s="29" t="n">
        <x:v>1.2</x:v>
      </x:c>
      <x:c r="G25" s="29" t="n">
        <x:v>1.8</x:v>
      </x:c>
      <x:c r="H25" s="30" t="n">
        <x:v>0.3</x:v>
      </x:c>
      <x:c r="I25" s="31" t="n">
        <x:f>E25*H25</x:f>
        <x:v>0.24</x:v>
      </x:c>
      <x:c r="J25" s="31" t="n">
        <x:f>F25*H25</x:f>
        <x:v>0.36</x:v>
      </x:c>
      <x:c r="K25" s="31" t="n">
        <x:f>G25*H25</x:f>
        <x:v>0.54</x:v>
      </x:c>
      <x:c r="L25" s="28" t="str">
        <x:v>Patronage-plan named house; likely not controlling acquisition</x:v>
      </x:c>
      <x:c r="M25" s="28" t="str">
        <x:v>Low-Medium</x:v>
      </x:c>
      <x:c r="N25" s="28" t="str">
        <x:v>Model hypothesis</x:v>
      </x:c>
    </x:row>
    <x:row r="26">
      <x:c r="A26" s="28" t="str">
        <x:v>Rick Owens</x:v>
      </x:c>
      <x:c r="B26" s="28" t="str">
        <x:v>Rick Owens</x:v>
      </x:c>
      <x:c r="C26" s="28" t="str">
        <x:v>Private independent</x:v>
      </x:c>
      <x:c r="D26" s="28" t="str">
        <x:v>Designer-house hypothesis</x:v>
      </x:c>
      <x:c r="E26" s="29" t="n">
        <x:v>0.6</x:v>
      </x:c>
      <x:c r="F26" s="29" t="n">
        <x:v>1</x:v>
      </x:c>
      <x:c r="G26" s="29" t="n">
        <x:v>1.5</x:v>
      </x:c>
      <x:c r="H26" s="30" t="n">
        <x:v>0.3</x:v>
      </x:c>
      <x:c r="I26" s="31" t="n">
        <x:f>E26*H26</x:f>
        <x:v>0.18</x:v>
      </x:c>
      <x:c r="J26" s="31" t="n">
        <x:f>F26*H26</x:f>
        <x:v>0.3</x:v>
      </x:c>
      <x:c r="K26" s="31" t="n">
        <x:f>G26*H26</x:f>
        <x:v>0.44999999999999996</x:v>
      </x:c>
      <x:c r="L26" s="28" t="str">
        <x:v>Patronage-plan named house</x:v>
      </x:c>
      <x:c r="M26" s="28" t="str">
        <x:v>Low-Medium</x:v>
      </x:c>
      <x:c r="N26" s="28" t="str">
        <x:v>Model hypothesis</x:v>
      </x:c>
    </x:row>
    <x:row r="27">
      <x:c r="A27" s="28" t="str">
        <x:v>Comme des Garçons</x:v>
      </x:c>
      <x:c r="B27" s="28" t="str">
        <x:v>Comme des Garçons</x:v>
      </x:c>
      <x:c r="C27" s="28" t="str">
        <x:v>Private independent</x:v>
      </x:c>
      <x:c r="D27" s="28" t="str">
        <x:v>Designer-group hypothesis</x:v>
      </x:c>
      <x:c r="E27" s="29" t="n">
        <x:v>1.5</x:v>
      </x:c>
      <x:c r="F27" s="29" t="n">
        <x:v>2.5</x:v>
      </x:c>
      <x:c r="G27" s="29" t="n">
        <x:v>4</x:v>
      </x:c>
      <x:c r="H27" s="30" t="n">
        <x:v>0.3</x:v>
      </x:c>
      <x:c r="I27" s="31" t="n">
        <x:f>E27*H27</x:f>
        <x:v>0.44999999999999996</x:v>
      </x:c>
      <x:c r="J27" s="31" t="n">
        <x:f>F27*H27</x:f>
        <x:v>0.75</x:v>
      </x:c>
      <x:c r="K27" s="31" t="n">
        <x:f>G27*H27</x:f>
        <x:v>1.2</x:v>
      </x:c>
      <x:c r="L27" s="28" t="str">
        <x:v>Patronage-plan named house</x:v>
      </x:c>
      <x:c r="M27" s="28" t="str">
        <x:v>Low-Medium</x:v>
      </x:c>
      <x:c r="N27" s="28" t="str">
        <x:v>Model hypothesis</x:v>
      </x:c>
    </x:row>
    <x:row r="28">
      <x:c r="A28" s="28" t="str">
        <x:v>Kiton</x:v>
      </x:c>
      <x:c r="B28" s="28" t="str">
        <x:v>Kiton</x:v>
      </x:c>
      <x:c r="C28" s="28" t="str">
        <x:v>Private independent</x:v>
      </x:c>
      <x:c r="D28" s="28" t="str">
        <x:v>Luxury tailoring hypothesis</x:v>
      </x:c>
      <x:c r="E28" s="29" t="n">
        <x:v>0.7</x:v>
      </x:c>
      <x:c r="F28" s="29" t="n">
        <x:v>1.1</x:v>
      </x:c>
      <x:c r="G28" s="29" t="n">
        <x:v>1.6</x:v>
      </x:c>
      <x:c r="H28" s="30" t="n">
        <x:v>0.3</x:v>
      </x:c>
      <x:c r="I28" s="31" t="n">
        <x:f>E28*H28</x:f>
        <x:v>0.21</x:v>
      </x:c>
      <x:c r="J28" s="31" t="n">
        <x:f>F28*H28</x:f>
        <x:v>0.33</x:v>
      </x:c>
      <x:c r="K28" s="31" t="n">
        <x:f>G28*H28</x:f>
        <x:v>0.48</x:v>
      </x:c>
      <x:c r="L28" s="28" t="str">
        <x:v>Patronage-plan named house</x:v>
      </x:c>
      <x:c r="M28" s="28" t="str">
        <x:v>Low-Medium</x:v>
      </x:c>
      <x:c r="N28" s="28" t="str">
        <x:v>Model hypothesis</x:v>
      </x:c>
    </x:row>
    <x:row r="29">
      <x:c r="A29" s="28" t="str">
        <x:v>Missoni</x:v>
      </x:c>
      <x:c r="B29" s="28" t="str">
        <x:v>Missoni</x:v>
      </x:c>
      <x:c r="C29" s="28" t="str">
        <x:v>Private independent</x:v>
      </x:c>
      <x:c r="D29" s="28" t="str">
        <x:v>Working house hypothesis</x:v>
      </x:c>
      <x:c r="E29" s="29" t="n">
        <x:v>0.6</x:v>
      </x:c>
      <x:c r="F29" s="29" t="n">
        <x:v>1</x:v>
      </x:c>
      <x:c r="G29" s="29" t="n">
        <x:v>1.5</x:v>
      </x:c>
      <x:c r="H29" s="30" t="n">
        <x:v>0.3</x:v>
      </x:c>
      <x:c r="I29" s="31" t="n">
        <x:f>E29*H29</x:f>
        <x:v>0.18</x:v>
      </x:c>
      <x:c r="J29" s="31" t="n">
        <x:f>F29*H29</x:f>
        <x:v>0.3</x:v>
      </x:c>
      <x:c r="K29" s="31" t="n">
        <x:f>G29*H29</x:f>
        <x:v>0.44999999999999996</x:v>
      </x:c>
      <x:c r="L29" s="28" t="str">
        <x:v>Status unresolved</x:v>
      </x:c>
      <x:c r="M29" s="28" t="str">
        <x:v>Low</x:v>
      </x:c>
      <x:c r="N29" s="28" t="str">
        <x:v>Model hypothesis</x:v>
      </x:c>
    </x:row>
    <x:row r="30">
      <x:c r="A30" s="28" t="str">
        <x:v>Etro</x:v>
      </x:c>
      <x:c r="B30" s="28" t="str">
        <x:v>Etro</x:v>
      </x:c>
      <x:c r="C30" s="28" t="str">
        <x:v>Private / PE-backed</x:v>
      </x:c>
      <x:c r="D30" s="28" t="str">
        <x:v>Working house hypothesis</x:v>
      </x:c>
      <x:c r="E30" s="29" t="n">
        <x:v>0.7</x:v>
      </x:c>
      <x:c r="F30" s="29" t="n">
        <x:v>1.1</x:v>
      </x:c>
      <x:c r="G30" s="29" t="n">
        <x:v>1.7</x:v>
      </x:c>
      <x:c r="H30" s="30" t="n">
        <x:v>0.3</x:v>
      </x:c>
      <x:c r="I30" s="31" t="n">
        <x:f>E30*H30</x:f>
        <x:v>0.21</x:v>
      </x:c>
      <x:c r="J30" s="31" t="n">
        <x:f>F30*H30</x:f>
        <x:v>0.33</x:v>
      </x:c>
      <x:c r="K30" s="31" t="n">
        <x:f>G30*H30</x:f>
        <x:v>0.51</x:v>
      </x:c>
      <x:c r="L30" s="28" t="str">
        <x:v>Status unresolved</x:v>
      </x:c>
      <x:c r="M30" s="28" t="str">
        <x:v>Low</x:v>
      </x:c>
      <x:c r="N30" s="28" t="str">
        <x:v>Model hypothesis</x:v>
      </x:c>
    </x:row>
    <x:row r="31">
      <x:c r="A31" s="28" t="str">
        <x:v>Tory Burch</x:v>
      </x:c>
      <x:c r="B31" s="28" t="str">
        <x:v>Tory Burch</x:v>
      </x:c>
      <x:c r="C31" s="28" t="str">
        <x:v>Private independent</x:v>
      </x:c>
      <x:c r="D31" s="28" t="str">
        <x:v>Scaled private fashion hypothesis</x:v>
      </x:c>
      <x:c r="E31" s="29" t="n">
        <x:v>2.5</x:v>
      </x:c>
      <x:c r="F31" s="29" t="n">
        <x:v>4</x:v>
      </x:c>
      <x:c r="G31" s="29" t="n">
        <x:v>6</x:v>
      </x:c>
      <x:c r="H31" s="30" t="n">
        <x:v>0.3</x:v>
      </x:c>
      <x:c r="I31" s="31" t="n">
        <x:f>E31*H31</x:f>
        <x:v>0.75</x:v>
      </x:c>
      <x:c r="J31" s="31" t="n">
        <x:f>F31*H31</x:f>
        <x:v>1.2</x:v>
      </x:c>
      <x:c r="K31" s="31" t="n">
        <x:f>G31*H31</x:f>
        <x:v>1.7999999999999998</x:v>
      </x:c>
      <x:c r="L31" s="28" t="str">
        <x:v>Status unresolved</x:v>
      </x:c>
      <x:c r="M31" s="28" t="str">
        <x:v>Low-Medium</x:v>
      </x:c>
      <x:c r="N31" s="28" t="str">
        <x:v>Model hypothesis</x:v>
      </x:c>
    </x:row>
    <x:row r="32">
      <x:c r="A32" s="28" t="str">
        <x:v>Vera Wang</x:v>
      </x:c>
      <x:c r="B32" s="28" t="str">
        <x:v>Vera Wang</x:v>
      </x:c>
      <x:c r="C32" s="28" t="str">
        <x:v>Private independent</x:v>
      </x:c>
      <x:c r="D32" s="28" t="str">
        <x:v>Brand/licensing-heavy hypothesis</x:v>
      </x:c>
      <x:c r="E32" s="29" t="n">
        <x:v>0.5</x:v>
      </x:c>
      <x:c r="F32" s="29" t="n">
        <x:v>0.9</x:v>
      </x:c>
      <x:c r="G32" s="29" t="n">
        <x:v>1.4</x:v>
      </x:c>
      <x:c r="H32" s="30" t="n">
        <x:v>0.3</x:v>
      </x:c>
      <x:c r="I32" s="31" t="n">
        <x:f>E32*H32</x:f>
        <x:v>0.15</x:v>
      </x:c>
      <x:c r="J32" s="31" t="n">
        <x:f>F32*H32</x:f>
        <x:v>0.27</x:v>
      </x:c>
      <x:c r="K32" s="31" t="n">
        <x:f>G32*H32</x:f>
        <x:v>0.42</x:v>
      </x:c>
      <x:c r="L32" s="28" t="str">
        <x:v>Status unresolved</x:v>
      </x:c>
      <x:c r="M32" s="28" t="str">
        <x:v>Low</x:v>
      </x:c>
      <x:c r="N32" s="28" t="str">
        <x:v>Model hypothesis</x:v>
      </x:c>
    </x:row>
    <x:row r="33">
      <x:c r="A33" s="28" t="str">
        <x:v>Jacquemus</x:v>
      </x:c>
      <x:c r="B33" s="28" t="str">
        <x:v>Jacquemus</x:v>
      </x:c>
      <x:c r="C33" s="28" t="str">
        <x:v>Private independent</x:v>
      </x:c>
      <x:c r="D33" s="28" t="str">
        <x:v>High-growth designer-house hypothesis</x:v>
      </x:c>
      <x:c r="E33" s="29" t="n">
        <x:v>1</x:v>
      </x:c>
      <x:c r="F33" s="29" t="n">
        <x:v>1.8</x:v>
      </x:c>
      <x:c r="G33" s="29" t="n">
        <x:v>3</x:v>
      </x:c>
      <x:c r="H33" s="30" t="n">
        <x:v>0.3</x:v>
      </x:c>
      <x:c r="I33" s="31" t="n">
        <x:f>E33*H33</x:f>
        <x:v>0.3</x:v>
      </x:c>
      <x:c r="J33" s="31" t="n">
        <x:f>F33*H33</x:f>
        <x:v>0.54</x:v>
      </x:c>
      <x:c r="K33" s="31" t="n">
        <x:f>G33*H33</x:f>
        <x:v>0.8999999999999999</x:v>
      </x:c>
      <x:c r="L33" s="28" t="str">
        <x:v>Status unresolved</x:v>
      </x:c>
      <x:c r="M33" s="28" t="str">
        <x:v>Low-Medium</x:v>
      </x:c>
      <x:c r="N33" s="28" t="str">
        <x:v>Model hypothesis</x:v>
      </x:c>
    </x:row>
    <x:row r="34">
      <x:c r="A34" s="28" t="str">
        <x:v>Balmain</x:v>
      </x:c>
      <x:c r="B34" s="28" t="str">
        <x:v>Balmain</x:v>
      </x:c>
      <x:c r="C34" s="28" t="str">
        <x:v>Private independent</x:v>
      </x:c>
      <x:c r="D34" s="28" t="str">
        <x:v>Luxury-house hypothesis</x:v>
      </x:c>
      <x:c r="E34" s="29" t="n">
        <x:v>1.2</x:v>
      </x:c>
      <x:c r="F34" s="29" t="n">
        <x:v>2</x:v>
      </x:c>
      <x:c r="G34" s="29" t="n">
        <x:v>3.2</x:v>
      </x:c>
      <x:c r="H34" s="30" t="n">
        <x:v>0.3</x:v>
      </x:c>
      <x:c r="I34" s="31" t="n">
        <x:f>E34*H34</x:f>
        <x:v>0.36</x:v>
      </x:c>
      <x:c r="J34" s="31" t="n">
        <x:f>F34*H34</x:f>
        <x:v>0.6</x:v>
      </x:c>
      <x:c r="K34" s="31" t="n">
        <x:f>G34*H34</x:f>
        <x:v>0.96</x:v>
      </x:c>
      <x:c r="L34" s="28" t="str">
        <x:v>Status unresolved</x:v>
      </x:c>
      <x:c r="M34" s="28" t="str">
        <x:v>Low-Medium</x:v>
      </x:c>
      <x:c r="N34" s="28" t="str">
        <x:v>Model hypothesis</x:v>
      </x:c>
    </x:row>
    <x:row r="35">
      <x:c r="A35" s="28" t="str">
        <x:v>Stella McCartney</x:v>
      </x:c>
      <x:c r="B35" s="28" t="str">
        <x:v>Stella McCartney</x:v>
      </x:c>
      <x:c r="C35" s="28" t="str">
        <x:v>Private independent</x:v>
      </x:c>
      <x:c r="D35" s="28" t="str">
        <x:v>Designer-house hypothesis</x:v>
      </x:c>
      <x:c r="E35" s="29" t="n">
        <x:v>0.5</x:v>
      </x:c>
      <x:c r="F35" s="29" t="n">
        <x:v>0.9</x:v>
      </x:c>
      <x:c r="G35" s="29" t="n">
        <x:v>1.5</x:v>
      </x:c>
      <x:c r="H35" s="30" t="n">
        <x:v>0</x:v>
      </x:c>
      <x:c r="I35" s="31" t="n">
        <x:f>E35*H35</x:f>
        <x:v>0</x:v>
      </x:c>
      <x:c r="J35" s="31" t="n">
        <x:f>F35*H35</x:f>
        <x:v>0</x:v>
      </x:c>
      <x:c r="K35" s="31" t="n">
        <x:f>G35*H35</x:f>
        <x:v>0</x:v>
      </x:c>
      <x:c r="L35" s="28" t="str">
        <x:v>SUPERSEDED by explicit final-use rows below; retained for audit trail, excluded from totals</x:v>
      </x:c>
      <x:c r="M35" s="28" t="str">
        <x:v>Low</x:v>
      </x:c>
      <x:c r="N35" s="28" t="str">
        <x:v>Model hypothesis</x:v>
      </x:c>
    </x:row>
    <x:row r="36">
      <x:c r="A36" s="28" t="str">
        <x:v>Independent long-tail basket</x:v>
      </x:c>
      <x:c r="B36" s="28" t="str">
        <x:v>Schiaparelli, Paul Smith, Ann Demeulemeester, Yohji Yamamoto, Issey Miyake, Proenza Schouler, Rodarte, Jason Wu, Erdem, Simone Rocha, JW Anderson, Roksanda, Mary Katrantzou, Christopher Kane, Emilia Wickstead, Rejina Pyo, Casablanca, Marine Serre, Coperni, Cavalli + others</x:v>
      </x:c>
      <x:c r="C36" s="28" t="str">
        <x:v>Private basket</x:v>
      </x:c>
      <x:c r="D36" s="28" t="str">
        <x:v>Aggregate hypothesis pending row-by-row research</x:v>
      </x:c>
      <x:c r="E36" s="29" t="n">
        <x:v>12</x:v>
      </x:c>
      <x:c r="F36" s="29" t="n">
        <x:v>20</x:v>
      </x:c>
      <x:c r="G36" s="29" t="n">
        <x:v>32</x:v>
      </x:c>
      <x:c r="H36" s="30" t="n">
        <x:v>0</x:v>
      </x:c>
      <x:c r="I36" s="31" t="n">
        <x:f>E36*H36</x:f>
        <x:v>0</x:v>
      </x:c>
      <x:c r="J36" s="31" t="n">
        <x:f>F36*H36</x:f>
        <x:v>0</x:v>
      </x:c>
      <x:c r="K36" s="31" t="n">
        <x:f>G36*H36</x:f>
        <x:v>0</x:v>
      </x:c>
      <x:c r="L36" s="28" t="str">
        <x:v>SUPERSEDED by explicit final-use rows below; retained for audit trail, excluded from totals</x:v>
      </x:c>
      <x:c r="M36" s="28" t="str">
        <x:v>Low</x:v>
      </x:c>
      <x:c r="N36" s="28" t="str">
        <x:v>Model hypothesis based on Jim source-map roster</x:v>
      </x:c>
    </x:row>
    <x:row r="37">
      <x:c r="A37" s="28" t="str">
        <x:v>Professional salon supply networks</x:v>
      </x:c>
      <x:c r="B37" s="28" t="str">
        <x:v>SalonCentric / CosmoProf / Marlo / Qosmedix / Paramount Beauty as mapped</x:v>
      </x:c>
      <x:c r="C37" s="28" t="str">
        <x:v>Mixed support assets</x:v>
      </x:c>
      <x:c r="D37" s="28" t="str">
        <x:v>Aggregate infrastructure hypothesis</x:v>
      </x:c>
      <x:c r="E37" s="29" t="n">
        <x:v>4</x:v>
      </x:c>
      <x:c r="F37" s="29" t="n">
        <x:v>7</x:v>
      </x:c>
      <x:c r="G37" s="29" t="n">
        <x:v>11</x:v>
      </x:c>
      <x:c r="H37" s="30" t="n">
        <x:v>0</x:v>
      </x:c>
      <x:c r="I37" s="31" t="n">
        <x:f>E37*H37</x:f>
        <x:v>0</x:v>
      </x:c>
      <x:c r="J37" s="31" t="n">
        <x:f>F37*H37</x:f>
        <x:v>0</x:v>
      </x:c>
      <x:c r="K37" s="31" t="n">
        <x:f>G37*H37</x:f>
        <x:v>0</x:v>
      </x:c>
      <x:c r="L37" s="28" t="str">
        <x:v>SUPERSEDED by explicit final-use rows below; retained for audit trail, excluded from totals</x:v>
      </x:c>
      <x:c r="M37" s="28" t="str">
        <x:v>Low</x:v>
      </x:c>
      <x:c r="N37" s="28" t="str">
        <x:v>Model hypothesis</x:v>
      </x:c>
    </x:row>
    <x:row r="38">
      <x:c r="A38" s="28" t="str">
        <x:v>Logistics &amp; secure freight</x:v>
      </x:c>
      <x:c r="B38" s="28" t="str">
        <x:v>Bleckmann + Crown Logistics as mapped</x:v>
      </x:c>
      <x:c r="C38" s="28" t="str">
        <x:v>Private infrastructure</x:v>
      </x:c>
      <x:c r="D38" s="28" t="str">
        <x:v>Aggregate hypothesis</x:v>
      </x:c>
      <x:c r="E38" s="29" t="n">
        <x:v>3</x:v>
      </x:c>
      <x:c r="F38" s="29" t="n">
        <x:v>5</x:v>
      </x:c>
      <x:c r="G38" s="29" t="n">
        <x:v>8</x:v>
      </x:c>
      <x:c r="H38" s="30" t="n">
        <x:v>0</x:v>
      </x:c>
      <x:c r="I38" s="31" t="n">
        <x:f>E38*H38</x:f>
        <x:v>0</x:v>
      </x:c>
      <x:c r="J38" s="31" t="n">
        <x:f>F38*H38</x:f>
        <x:v>0</x:v>
      </x:c>
      <x:c r="K38" s="31" t="n">
        <x:f>G38*H38</x:f>
        <x:v>0</x:v>
      </x:c>
      <x:c r="L38" s="28" t="str">
        <x:v>SUPERSEDED by explicit final-use rows below; retained for audit trail, excluded from totals</x:v>
      </x:c>
      <x:c r="M38" s="28" t="str">
        <x:v>Low-Medium</x:v>
      </x:c>
      <x:c r="N38" s="28" t="str">
        <x:v>Model hypothesis</x:v>
      </x:c>
    </x:row>
    <x:row r="39">
      <x:c r="A39" s="28" t="str">
        <x:v>Como silk / artisanal infrastructure</x:v>
      </x:c>
      <x:c r="B39" s="28" t="str">
        <x:v>Como silk weaving cooperatives / mills</x:v>
      </x:c>
      <x:c r="C39" s="28" t="str">
        <x:v>Private infrastructure</x:v>
      </x:c>
      <x:c r="D39" s="28" t="str">
        <x:v>Aggregate hypothesis</x:v>
      </x:c>
      <x:c r="E39" s="29" t="n">
        <x:v>1.5</x:v>
      </x:c>
      <x:c r="F39" s="29" t="n">
        <x:v>3</x:v>
      </x:c>
      <x:c r="G39" s="29" t="n">
        <x:v>5</x:v>
      </x:c>
      <x:c r="H39" s="30" t="n">
        <x:v>0.75</x:v>
      </x:c>
      <x:c r="I39" s="31" t="n">
        <x:f>E39*H39</x:f>
        <x:v>1.125</x:v>
      </x:c>
      <x:c r="J39" s="31" t="n">
        <x:f>F39*H39</x:f>
        <x:v>2.25</x:v>
      </x:c>
      <x:c r="K39" s="31" t="n">
        <x:f>G39*H39</x:f>
        <x:v>3.75</x:v>
      </x:c>
      <x:c r="L39" s="28" t="str">
        <x:v>Later Patronage infrastructure may overlap</x:v>
      </x:c>
      <x:c r="M39" s="28" t="str">
        <x:v>Low</x:v>
      </x:c>
      <x:c r="N39" s="28" t="str">
        <x:v>Model hypothesis</x:v>
      </x:c>
    </x:row>
    <x:row r="40">
      <x:c r="A40" s="28" t="str">
        <x:v>OTB Group</x:v>
      </x:c>
      <x:c r="B40" s="28" t="str">
        <x:v>Maison Margiela, Jil Sander, Marni, Viktor &amp; Rolf</x:v>
      </x:c>
      <x:c r="C40" s="28" t="str">
        <x:v>Private parent</x:v>
      </x:c>
      <x:c r="D40" s="28" t="str">
        <x:v>Source-document holding range</x:v>
      </x:c>
      <x:c r="E40" s="47" t="n">
        <x:v>3</x:v>
      </x:c>
      <x:c r="F40" s="47" t="n">
        <x:v>4</x:v>
      </x:c>
      <x:c r="G40" s="47" t="n">
        <x:v>5</x:v>
      </x:c>
      <x:c r="H40" s="30" t="n">
        <x:v>0.3</x:v>
      </x:c>
      <x:c r="I40" s="48" t="n">
        <x:f>E40*H40</x:f>
        <x:v>0.8999999999999999</x:v>
      </x:c>
      <x:c r="J40" s="48" t="n">
        <x:f>F40*H40</x:f>
        <x:v>1.2</x:v>
      </x:c>
      <x:c r="K40" s="48" t="n">
        <x:f>G40*H40</x:f>
        <x:v>1.5</x:v>
      </x:c>
      <x:c r="L40" s="28" t="str">
        <x:v>NEW explicit parent from final-use source; count parent once</x:v>
      </x:c>
      <x:c r="M40" s="28" t="str">
        <x:v>Medium</x:v>
      </x:c>
      <x:c r="N40" s="28" t="str">
        <x:v>User source: the fashion empire final use this.docx</x:v>
      </x:c>
    </x:row>
    <x:row r="41">
      <x:c r="A41" s="28" t="str">
        <x:v>Off-White</x:v>
      </x:c>
      <x:c r="B41" s="28" t="str">
        <x:v>Off-White</x:v>
      </x:c>
      <x:c r="C41" s="28" t="str">
        <x:v>Private independent</x:v>
      </x:c>
      <x:c r="D41" s="28" t="str">
        <x:v>Source-document hypothesis</x:v>
      </x:c>
      <x:c r="E41" s="47" t="n">
        <x:v>0.3</x:v>
      </x:c>
      <x:c r="F41" s="47" t="n">
        <x:v>0.3</x:v>
      </x:c>
      <x:c r="G41" s="47" t="n">
        <x:v>0.3</x:v>
      </x:c>
      <x:c r="H41" s="30" t="n">
        <x:v>0.3</x:v>
      </x:c>
      <x:c r="I41" s="48" t="n">
        <x:f>E41*H41</x:f>
        <x:v>0.09</x:v>
      </x:c>
      <x:c r="J41" s="48" t="n">
        <x:f>F41*H41</x:f>
        <x:v>0.09</x:v>
      </x:c>
      <x:c r="K41" s="48" t="n">
        <x:f>G41*H41</x:f>
        <x:v>0.09</x:v>
      </x:c>
      <x:c r="L41" s="28" t="str">
        <x:v>NEW explicit independent asset</x:v>
      </x:c>
      <x:c r="M41" s="28" t="str">
        <x:v>Low-Medium</x:v>
      </x:c>
      <x:c r="N41" s="28" t="str">
        <x:v>User source hypothesis</x:v>
      </x:c>
    </x:row>
    <x:row r="42">
      <x:c r="A42" s="28" t="str">
        <x:v>Vivienne Westwood</x:v>
      </x:c>
      <x:c r="B42" s="28" t="str">
        <x:v>Vivienne Westwood</x:v>
      </x:c>
      <x:c r="C42" s="28" t="str">
        <x:v>Private independent</x:v>
      </x:c>
      <x:c r="D42" s="28" t="str">
        <x:v>Source-document hypothesis</x:v>
      </x:c>
      <x:c r="E42" s="47" t="n">
        <x:v>0.3</x:v>
      </x:c>
      <x:c r="F42" s="47" t="n">
        <x:v>0.3</x:v>
      </x:c>
      <x:c r="G42" s="47" t="n">
        <x:v>0.3</x:v>
      </x:c>
      <x:c r="H42" s="30" t="n">
        <x:v>0.3</x:v>
      </x:c>
      <x:c r="I42" s="48" t="n">
        <x:f>E42*H42</x:f>
        <x:v>0.09</x:v>
      </x:c>
      <x:c r="J42" s="48" t="n">
        <x:f>F42*H42</x:f>
        <x:v>0.09</x:v>
      </x:c>
      <x:c r="K42" s="48" t="n">
        <x:f>G42*H42</x:f>
        <x:v>0.09</x:v>
      </x:c>
      <x:c r="L42" s="28" t="str">
        <x:v>NEW explicit independent asset</x:v>
      </x:c>
      <x:c r="M42" s="28" t="str">
        <x:v>Low-Medium</x:v>
      </x:c>
      <x:c r="N42" s="28" t="str">
        <x:v>User source hypothesis</x:v>
      </x:c>
    </x:row>
    <x:row r="43">
      <x:c r="A43" s="28" t="str">
        <x:v>Schiaparelli</x:v>
      </x:c>
      <x:c r="B43" s="28" t="str">
        <x:v>Schiaparelli</x:v>
      </x:c>
      <x:c r="C43" s="28" t="str">
        <x:v>Private independent</x:v>
      </x:c>
      <x:c r="D43" s="28" t="str">
        <x:v>Source-document hypothesis</x:v>
      </x:c>
      <x:c r="E43" s="47" t="n">
        <x:v>0.25</x:v>
      </x:c>
      <x:c r="F43" s="47" t="n">
        <x:v>0.25</x:v>
      </x:c>
      <x:c r="G43" s="47" t="n">
        <x:v>0.25</x:v>
      </x:c>
      <x:c r="H43" s="30" t="n">
        <x:v>0.3</x:v>
      </x:c>
      <x:c r="I43" s="48" t="n">
        <x:f>E43*H43</x:f>
        <x:v>0.075</x:v>
      </x:c>
      <x:c r="J43" s="48" t="n">
        <x:f>F43*H43</x:f>
        <x:v>0.075</x:v>
      </x:c>
      <x:c r="K43" s="48" t="n">
        <x:f>G43*H43</x:f>
        <x:v>0.075</x:v>
      </x:c>
      <x:c r="L43" s="28" t="str">
        <x:v>Replaces portion of temporary long-tail basket</x:v>
      </x:c>
      <x:c r="M43" s="28" t="str">
        <x:v>Low-Medium</x:v>
      </x:c>
      <x:c r="N43" s="28" t="str">
        <x:v>User source hypothesis</x:v>
      </x:c>
    </x:row>
    <x:row r="44">
      <x:c r="A44" s="28" t="str">
        <x:v>Mugler</x:v>
      </x:c>
      <x:c r="B44" s="28" t="str">
        <x:v>Mugler</x:v>
      </x:c>
      <x:c r="C44" s="28" t="str">
        <x:v>Private independent</x:v>
      </x:c>
      <x:c r="D44" s="28" t="str">
        <x:v>Source-document hypothesis</x:v>
      </x:c>
      <x:c r="E44" s="47" t="n">
        <x:v>0.4</x:v>
      </x:c>
      <x:c r="F44" s="47" t="n">
        <x:v>0.4</x:v>
      </x:c>
      <x:c r="G44" s="47" t="n">
        <x:v>0.4</x:v>
      </x:c>
      <x:c r="H44" s="30" t="n">
        <x:v>0.3</x:v>
      </x:c>
      <x:c r="I44" s="48" t="n">
        <x:f>E44*H44</x:f>
        <x:v>0.12</x:v>
      </x:c>
      <x:c r="J44" s="48" t="n">
        <x:f>F44*H44</x:f>
        <x:v>0.12</x:v>
      </x:c>
      <x:c r="K44" s="48" t="n">
        <x:f>G44*H44</x:f>
        <x:v>0.12</x:v>
      </x:c>
      <x:c r="L44" s="28" t="str">
        <x:v>NEW explicit independent asset</x:v>
      </x:c>
      <x:c r="M44" s="28" t="str">
        <x:v>Low-Medium</x:v>
      </x:c>
      <x:c r="N44" s="28" t="str">
        <x:v>User source hypothesis</x:v>
      </x:c>
    </x:row>
    <x:row r="45">
      <x:c r="A45" s="28" t="str">
        <x:v>Paul Smith</x:v>
      </x:c>
      <x:c r="B45" s="28" t="str">
        <x:v>Paul Smith</x:v>
      </x:c>
      <x:c r="C45" s="28" t="str">
        <x:v>Private independent</x:v>
      </x:c>
      <x:c r="D45" s="28" t="str">
        <x:v>Source-document hypothesis</x:v>
      </x:c>
      <x:c r="E45" s="47" t="n">
        <x:v>0.3</x:v>
      </x:c>
      <x:c r="F45" s="47" t="n">
        <x:v>0.3</x:v>
      </x:c>
      <x:c r="G45" s="47" t="n">
        <x:v>0.3</x:v>
      </x:c>
      <x:c r="H45" s="30" t="n">
        <x:v>0.3</x:v>
      </x:c>
      <x:c r="I45" s="48" t="n">
        <x:f>E45*H45</x:f>
        <x:v>0.09</x:v>
      </x:c>
      <x:c r="J45" s="48" t="n">
        <x:f>F45*H45</x:f>
        <x:v>0.09</x:v>
      </x:c>
      <x:c r="K45" s="48" t="n">
        <x:f>G45*H45</x:f>
        <x:v>0.09</x:v>
      </x:c>
      <x:c r="L45" s="28" t="str">
        <x:v>Replaces portion of temporary long-tail basket</x:v>
      </x:c>
      <x:c r="M45" s="28" t="str">
        <x:v>Low-Medium</x:v>
      </x:c>
      <x:c r="N45" s="28" t="str">
        <x:v>User source hypothesis</x:v>
      </x:c>
    </x:row>
    <x:row r="46">
      <x:c r="A46" s="28" t="str">
        <x:v>Ann Demeulemeester</x:v>
      </x:c>
      <x:c r="B46" s="28" t="str">
        <x:v>Ann Demeulemeester</x:v>
      </x:c>
      <x:c r="C46" s="28" t="str">
        <x:v>Private independent</x:v>
      </x:c>
      <x:c r="D46" s="28" t="str">
        <x:v>Source-document hypothesis</x:v>
      </x:c>
      <x:c r="E46" s="47" t="n">
        <x:v>0.15</x:v>
      </x:c>
      <x:c r="F46" s="47" t="n">
        <x:v>0.15</x:v>
      </x:c>
      <x:c r="G46" s="47" t="n">
        <x:v>0.15</x:v>
      </x:c>
      <x:c r="H46" s="30" t="n">
        <x:v>0.3</x:v>
      </x:c>
      <x:c r="I46" s="48" t="n">
        <x:f>E46*H46</x:f>
        <x:v>0.045</x:v>
      </x:c>
      <x:c r="J46" s="48" t="n">
        <x:f>F46*H46</x:f>
        <x:v>0.045</x:v>
      </x:c>
      <x:c r="K46" s="48" t="n">
        <x:f>G46*H46</x:f>
        <x:v>0.045</x:v>
      </x:c>
      <x:c r="L46" s="28" t="str">
        <x:v>Replaces portion of temporary long-tail basket</x:v>
      </x:c>
      <x:c r="M46" s="28" t="str">
        <x:v>Low-Medium</x:v>
      </x:c>
      <x:c r="N46" s="28" t="str">
        <x:v>User source hypothesis</x:v>
      </x:c>
    </x:row>
    <x:row r="47">
      <x:c r="A47" s="28" t="str">
        <x:v>Yohji Yamamoto</x:v>
      </x:c>
      <x:c r="B47" s="28" t="str">
        <x:v>Yohji Yamamoto</x:v>
      </x:c>
      <x:c r="C47" s="28" t="str">
        <x:v>Private independent</x:v>
      </x:c>
      <x:c r="D47" s="28" t="str">
        <x:v>Source-document hypothesis</x:v>
      </x:c>
      <x:c r="E47" s="47" t="n">
        <x:v>0.3</x:v>
      </x:c>
      <x:c r="F47" s="47" t="n">
        <x:v>0.3</x:v>
      </x:c>
      <x:c r="G47" s="47" t="n">
        <x:v>0.3</x:v>
      </x:c>
      <x:c r="H47" s="30" t="n">
        <x:v>0.3</x:v>
      </x:c>
      <x:c r="I47" s="48" t="n">
        <x:f>E47*H47</x:f>
        <x:v>0.09</x:v>
      </x:c>
      <x:c r="J47" s="48" t="n">
        <x:f>F47*H47</x:f>
        <x:v>0.09</x:v>
      </x:c>
      <x:c r="K47" s="48" t="n">
        <x:f>G47*H47</x:f>
        <x:v>0.09</x:v>
      </x:c>
      <x:c r="L47" s="28" t="str">
        <x:v>Replaces portion of temporary long-tail basket</x:v>
      </x:c>
      <x:c r="M47" s="28" t="str">
        <x:v>Low-Medium</x:v>
      </x:c>
      <x:c r="N47" s="28" t="str">
        <x:v>User source hypothesis</x:v>
      </x:c>
    </x:row>
    <x:row r="48">
      <x:c r="A48" s="28" t="str">
        <x:v>Issey Miyake</x:v>
      </x:c>
      <x:c r="B48" s="28" t="str">
        <x:v>Issey Miyake</x:v>
      </x:c>
      <x:c r="C48" s="28" t="str">
        <x:v>Private independent</x:v>
      </x:c>
      <x:c r="D48" s="28" t="str">
        <x:v>Source-document hypothesis</x:v>
      </x:c>
      <x:c r="E48" s="47" t="n">
        <x:v>0.5</x:v>
      </x:c>
      <x:c r="F48" s="47" t="n">
        <x:v>0.5</x:v>
      </x:c>
      <x:c r="G48" s="47" t="n">
        <x:v>0.5</x:v>
      </x:c>
      <x:c r="H48" s="30" t="n">
        <x:v>0.3</x:v>
      </x:c>
      <x:c r="I48" s="48" t="n">
        <x:f>E48*H48</x:f>
        <x:v>0.15</x:v>
      </x:c>
      <x:c r="J48" s="48" t="n">
        <x:f>F48*H48</x:f>
        <x:v>0.15</x:v>
      </x:c>
      <x:c r="K48" s="48" t="n">
        <x:f>G48*H48</x:f>
        <x:v>0.15</x:v>
      </x:c>
      <x:c r="L48" s="28" t="str">
        <x:v>Replaces portion of temporary long-tail basket</x:v>
      </x:c>
      <x:c r="M48" s="28" t="str">
        <x:v>Low-Medium</x:v>
      </x:c>
      <x:c r="N48" s="28" t="str">
        <x:v>User source hypothesis</x:v>
      </x:c>
    </x:row>
    <x:row r="49">
      <x:c r="A49" s="28" t="str">
        <x:v>Proenza Schouler</x:v>
      </x:c>
      <x:c r="B49" s="28" t="str">
        <x:v>Proenza Schouler</x:v>
      </x:c>
      <x:c r="C49" s="28" t="str">
        <x:v>Private independent</x:v>
      </x:c>
      <x:c r="D49" s="28" t="str">
        <x:v>Source-document hypothesis</x:v>
      </x:c>
      <x:c r="E49" s="47" t="n">
        <x:v>0.2</x:v>
      </x:c>
      <x:c r="F49" s="47" t="n">
        <x:v>0.2</x:v>
      </x:c>
      <x:c r="G49" s="47" t="n">
        <x:v>0.2</x:v>
      </x:c>
      <x:c r="H49" s="30" t="n">
        <x:v>0.3</x:v>
      </x:c>
      <x:c r="I49" s="48" t="n">
        <x:f>E49*H49</x:f>
        <x:v>0.06</x:v>
      </x:c>
      <x:c r="J49" s="48" t="n">
        <x:f>F49*H49</x:f>
        <x:v>0.06</x:v>
      </x:c>
      <x:c r="K49" s="48" t="n">
        <x:f>G49*H49</x:f>
        <x:v>0.06</x:v>
      </x:c>
      <x:c r="L49" s="28" t="str">
        <x:v>Replaces portion of temporary long-tail basket</x:v>
      </x:c>
      <x:c r="M49" s="28" t="str">
        <x:v>Low-Medium</x:v>
      </x:c>
      <x:c r="N49" s="28" t="str">
        <x:v>User source hypothesis</x:v>
      </x:c>
    </x:row>
    <x:row r="50">
      <x:c r="A50" s="28" t="str">
        <x:v>Rodarte</x:v>
      </x:c>
      <x:c r="B50" s="28" t="str">
        <x:v>Rodarte</x:v>
      </x:c>
      <x:c r="C50" s="28" t="str">
        <x:v>Private independent</x:v>
      </x:c>
      <x:c r="D50" s="28" t="str">
        <x:v>Source-document hypothesis</x:v>
      </x:c>
      <x:c r="E50" s="47" t="n">
        <x:v>0.1</x:v>
      </x:c>
      <x:c r="F50" s="47" t="n">
        <x:v>0.1</x:v>
      </x:c>
      <x:c r="G50" s="47" t="n">
        <x:v>0.1</x:v>
      </x:c>
      <x:c r="H50" s="30" t="n">
        <x:v>0.3</x:v>
      </x:c>
      <x:c r="I50" s="48" t="n">
        <x:f>E50*H50</x:f>
        <x:v>0.03</x:v>
      </x:c>
      <x:c r="J50" s="48" t="n">
        <x:f>F50*H50</x:f>
        <x:v>0.03</x:v>
      </x:c>
      <x:c r="K50" s="48" t="n">
        <x:f>G50*H50</x:f>
        <x:v>0.03</x:v>
      </x:c>
      <x:c r="L50" s="28" t="str">
        <x:v>Replaces portion of temporary long-tail basket</x:v>
      </x:c>
      <x:c r="M50" s="28" t="str">
        <x:v>Low-Medium</x:v>
      </x:c>
      <x:c r="N50" s="28" t="str">
        <x:v>User source hypothesis</x:v>
      </x:c>
    </x:row>
    <x:row r="51">
      <x:c r="A51" s="28" t="str">
        <x:v>Jason Wu</x:v>
      </x:c>
      <x:c r="B51" s="28" t="str">
        <x:v>Jason Wu</x:v>
      </x:c>
      <x:c r="C51" s="28" t="str">
        <x:v>Private independent</x:v>
      </x:c>
      <x:c r="D51" s="28" t="str">
        <x:v>Source-document hypothesis</x:v>
      </x:c>
      <x:c r="E51" s="47" t="n">
        <x:v>0.15</x:v>
      </x:c>
      <x:c r="F51" s="47" t="n">
        <x:v>0.15</x:v>
      </x:c>
      <x:c r="G51" s="47" t="n">
        <x:v>0.15</x:v>
      </x:c>
      <x:c r="H51" s="30" t="n">
        <x:v>0.3</x:v>
      </x:c>
      <x:c r="I51" s="48" t="n">
        <x:f>E51*H51</x:f>
        <x:v>0.045</x:v>
      </x:c>
      <x:c r="J51" s="48" t="n">
        <x:f>F51*H51</x:f>
        <x:v>0.045</x:v>
      </x:c>
      <x:c r="K51" s="48" t="n">
        <x:f>G51*H51</x:f>
        <x:v>0.045</x:v>
      </x:c>
      <x:c r="L51" s="28" t="str">
        <x:v>Replaces portion of temporary long-tail basket</x:v>
      </x:c>
      <x:c r="M51" s="28" t="str">
        <x:v>Low-Medium</x:v>
      </x:c>
      <x:c r="N51" s="28" t="str">
        <x:v>User source hypothesis</x:v>
      </x:c>
    </x:row>
    <x:row r="52">
      <x:c r="A52" s="28" t="str">
        <x:v>Loro Piana</x:v>
      </x:c>
      <x:c r="B52" s="28" t="str">
        <x:v>Loro Piana</x:v>
      </x:c>
      <x:c r="C52" s="28" t="str">
        <x:v>Source-map independent / real-world LVMH child</x:v>
      </x:c>
      <x:c r="D52" s="28" t="str">
        <x:v>Source-document hypothesis</x:v>
      </x:c>
      <x:c r="E52" s="47" t="n">
        <x:v>3</x:v>
      </x:c>
      <x:c r="F52" s="47" t="n">
        <x:v>3</x:v>
      </x:c>
      <x:c r="G52" s="47" t="n">
        <x:v>3</x:v>
      </x:c>
      <x:c r="H52" s="30" t="n">
        <x:v>0</x:v>
      </x:c>
      <x:c r="I52" s="48" t="n">
        <x:f>E52*H52</x:f>
        <x:v>0</x:v>
      </x:c>
      <x:c r="J52" s="48" t="n">
        <x:f>F52*H52</x:f>
        <x:v>0</x:v>
      </x:c>
      <x:c r="K52" s="48" t="n">
        <x:f>G52*H52</x:f>
        <x:v>0</x:v>
      </x:c>
      <x:c r="L52" s="28" t="str">
        <x:v>OVERLAP EXCLUDED FROM TOTAL: source lists as independent, but Loro Piana is inside LVMH; preserve row for source fidelity, do not double count</x:v>
      </x:c>
      <x:c r="M52" s="28" t="str">
        <x:v>Low</x:v>
      </x:c>
      <x:c r="N52" s="28" t="str">
        <x:v>User source hypothesis; structural overlap flagged</x:v>
      </x:c>
    </x:row>
    <x:row r="53">
      <x:c r="A53" s="28" t="str">
        <x:v>Bally</x:v>
      </x:c>
      <x:c r="B53" s="28" t="str">
        <x:v>Bally</x:v>
      </x:c>
      <x:c r="C53" s="28" t="str">
        <x:v>Private independent</x:v>
      </x:c>
      <x:c r="D53" s="28" t="str">
        <x:v>Source-document hypothesis</x:v>
      </x:c>
      <x:c r="E53" s="47" t="n">
        <x:v>0.5</x:v>
      </x:c>
      <x:c r="F53" s="47" t="n">
        <x:v>0.5</x:v>
      </x:c>
      <x:c r="G53" s="47" t="n">
        <x:v>0.5</x:v>
      </x:c>
      <x:c r="H53" s="30" t="n">
        <x:v>0.3</x:v>
      </x:c>
      <x:c r="I53" s="48" t="n">
        <x:f>E53*H53</x:f>
        <x:v>0.15</x:v>
      </x:c>
      <x:c r="J53" s="48" t="n">
        <x:f>F53*H53</x:f>
        <x:v>0.15</x:v>
      </x:c>
      <x:c r="K53" s="48" t="n">
        <x:f>G53*H53</x:f>
        <x:v>0.15</x:v>
      </x:c>
      <x:c r="L53" s="28" t="str">
        <x:v>NEW explicit independent asset</x:v>
      </x:c>
      <x:c r="M53" s="28" t="str">
        <x:v>Low-Medium</x:v>
      </x:c>
      <x:c r="N53" s="28" t="str">
        <x:v>User source hypothesis</x:v>
      </x:c>
    </x:row>
    <x:row r="54">
      <x:c r="A54" s="28" t="str">
        <x:v>Tod's</x:v>
      </x:c>
      <x:c r="B54" s="28" t="str">
        <x:v>Tod's</x:v>
      </x:c>
      <x:c r="C54" s="28" t="str">
        <x:v>Private independent</x:v>
      </x:c>
      <x:c r="D54" s="28" t="str">
        <x:v>Source-document hypothesis</x:v>
      </x:c>
      <x:c r="E54" s="47" t="n">
        <x:v>1</x:v>
      </x:c>
      <x:c r="F54" s="47" t="n">
        <x:v>1</x:v>
      </x:c>
      <x:c r="G54" s="47" t="n">
        <x:v>1</x:v>
      </x:c>
      <x:c r="H54" s="30" t="n">
        <x:v>0.3</x:v>
      </x:c>
      <x:c r="I54" s="48" t="n">
        <x:f>E54*H54</x:f>
        <x:v>0.3</x:v>
      </x:c>
      <x:c r="J54" s="48" t="n">
        <x:f>F54*H54</x:f>
        <x:v>0.3</x:v>
      </x:c>
      <x:c r="K54" s="48" t="n">
        <x:f>G54*H54</x:f>
        <x:v>0.3</x:v>
      </x:c>
      <x:c r="L54" s="28" t="str">
        <x:v>NEW explicit independent asset</x:v>
      </x:c>
      <x:c r="M54" s="28" t="str">
        <x:v>Low-Medium</x:v>
      </x:c>
      <x:c r="N54" s="28" t="str">
        <x:v>User source hypothesis</x:v>
      </x:c>
    </x:row>
    <x:row r="55">
      <x:c r="A55" s="28" t="str">
        <x:v>Sergio Rossi</x:v>
      </x:c>
      <x:c r="B55" s="28" t="str">
        <x:v>Sergio Rossi</x:v>
      </x:c>
      <x:c r="C55" s="28" t="str">
        <x:v>Private independent</x:v>
      </x:c>
      <x:c r="D55" s="28" t="str">
        <x:v>Source-document hypothesis</x:v>
      </x:c>
      <x:c r="E55" s="47" t="n">
        <x:v>0.2</x:v>
      </x:c>
      <x:c r="F55" s="47" t="n">
        <x:v>0.2</x:v>
      </x:c>
      <x:c r="G55" s="47" t="n">
        <x:v>0.2</x:v>
      </x:c>
      <x:c r="H55" s="30" t="n">
        <x:v>0.3</x:v>
      </x:c>
      <x:c r="I55" s="48" t="n">
        <x:f>E55*H55</x:f>
        <x:v>0.06</x:v>
      </x:c>
      <x:c r="J55" s="48" t="n">
        <x:f>F55*H55</x:f>
        <x:v>0.06</x:v>
      </x:c>
      <x:c r="K55" s="48" t="n">
        <x:f>G55*H55</x:f>
        <x:v>0.06</x:v>
      </x:c>
      <x:c r="L55" s="28" t="str">
        <x:v>NEW explicit independent asset</x:v>
      </x:c>
      <x:c r="M55" s="28" t="str">
        <x:v>Low-Medium</x:v>
      </x:c>
      <x:c r="N55" s="28" t="str">
        <x:v>User source hypothesis</x:v>
      </x:c>
    </x:row>
    <x:row r="56">
      <x:c r="A56" s="28" t="str">
        <x:v>Giuseppe Zanotti</x:v>
      </x:c>
      <x:c r="B56" s="28" t="str">
        <x:v>Giuseppe Zanotti</x:v>
      </x:c>
      <x:c r="C56" s="28" t="str">
        <x:v>Private independent</x:v>
      </x:c>
      <x:c r="D56" s="28" t="str">
        <x:v>Source-document hypothesis</x:v>
      </x:c>
      <x:c r="E56" s="47" t="n">
        <x:v>0.2</x:v>
      </x:c>
      <x:c r="F56" s="47" t="n">
        <x:v>0.2</x:v>
      </x:c>
      <x:c r="G56" s="47" t="n">
        <x:v>0.2</x:v>
      </x:c>
      <x:c r="H56" s="30" t="n">
        <x:v>0.3</x:v>
      </x:c>
      <x:c r="I56" s="48" t="n">
        <x:f>E56*H56</x:f>
        <x:v>0.06</x:v>
      </x:c>
      <x:c r="J56" s="48" t="n">
        <x:f>F56*H56</x:f>
        <x:v>0.06</x:v>
      </x:c>
      <x:c r="K56" s="48" t="n">
        <x:f>G56*H56</x:f>
        <x:v>0.06</x:v>
      </x:c>
      <x:c r="L56" s="28" t="str">
        <x:v>NEW explicit independent asset</x:v>
      </x:c>
      <x:c r="M56" s="28" t="str">
        <x:v>Low-Medium</x:v>
      </x:c>
      <x:c r="N56" s="28" t="str">
        <x:v>User source hypothesis</x:v>
      </x:c>
    </x:row>
    <x:row r="57">
      <x:c r="A57" s="28" t="str">
        <x:v>Balmain Hair</x:v>
      </x:c>
      <x:c r="B57" s="28" t="str">
        <x:v>Balmain Hair</x:v>
      </x:c>
      <x:c r="C57" s="28" t="str">
        <x:v>Private independent</x:v>
      </x:c>
      <x:c r="D57" s="28" t="str">
        <x:v>Source-document hypothesis</x:v>
      </x:c>
      <x:c r="E57" s="47" t="n">
        <x:v>0.2</x:v>
      </x:c>
      <x:c r="F57" s="47" t="n">
        <x:v>0.2</x:v>
      </x:c>
      <x:c r="G57" s="47" t="n">
        <x:v>0.2</x:v>
      </x:c>
      <x:c r="H57" s="30" t="n">
        <x:v>0.3</x:v>
      </x:c>
      <x:c r="I57" s="48" t="n">
        <x:f>E57*H57</x:f>
        <x:v>0.06</x:v>
      </x:c>
      <x:c r="J57" s="48" t="n">
        <x:f>F57*H57</x:f>
        <x:v>0.06</x:v>
      </x:c>
      <x:c r="K57" s="48" t="n">
        <x:f>G57*H57</x:f>
        <x:v>0.06</x:v>
      </x:c>
      <x:c r="L57" s="28" t="str">
        <x:v>NEW explicit independent asset</x:v>
      </x:c>
      <x:c r="M57" s="28" t="str">
        <x:v>Low-Medium</x:v>
      </x:c>
      <x:c r="N57" s="28" t="str">
        <x:v>User source hypothesis</x:v>
      </x:c>
    </x:row>
    <x:row r="58">
      <x:c r="A58" s="28" t="str">
        <x:v>Erdem</x:v>
      </x:c>
      <x:c r="B58" s="28" t="str">
        <x:v>Erdem</x:v>
      </x:c>
      <x:c r="C58" s="28" t="str">
        <x:v>Private independent</x:v>
      </x:c>
      <x:c r="D58" s="28" t="str">
        <x:v>Source-document hypothesis</x:v>
      </x:c>
      <x:c r="E58" s="47" t="n">
        <x:v>0.1</x:v>
      </x:c>
      <x:c r="F58" s="47" t="n">
        <x:v>0.1</x:v>
      </x:c>
      <x:c r="G58" s="47" t="n">
        <x:v>0.1</x:v>
      </x:c>
      <x:c r="H58" s="30" t="n">
        <x:v>0.3</x:v>
      </x:c>
      <x:c r="I58" s="48" t="n">
        <x:f>E58*H58</x:f>
        <x:v>0.03</x:v>
      </x:c>
      <x:c r="J58" s="48" t="n">
        <x:f>F58*H58</x:f>
        <x:v>0.03</x:v>
      </x:c>
      <x:c r="K58" s="48" t="n">
        <x:f>G58*H58</x:f>
        <x:v>0.03</x:v>
      </x:c>
      <x:c r="L58" s="28" t="str">
        <x:v>Replaces portion of temporary long-tail basket</x:v>
      </x:c>
      <x:c r="M58" s="28" t="str">
        <x:v>Low-Medium</x:v>
      </x:c>
      <x:c r="N58" s="28" t="str">
        <x:v>User source hypothesis</x:v>
      </x:c>
    </x:row>
    <x:row r="59">
      <x:c r="A59" s="28" t="str">
        <x:v>Simone Rocha</x:v>
      </x:c>
      <x:c r="B59" s="28" t="str">
        <x:v>Simone Rocha</x:v>
      </x:c>
      <x:c r="C59" s="28" t="str">
        <x:v>Private independent</x:v>
      </x:c>
      <x:c r="D59" s="28" t="str">
        <x:v>Source-document hypothesis</x:v>
      </x:c>
      <x:c r="E59" s="47" t="n">
        <x:v>0.15</x:v>
      </x:c>
      <x:c r="F59" s="47" t="n">
        <x:v>0.15</x:v>
      </x:c>
      <x:c r="G59" s="47" t="n">
        <x:v>0.15</x:v>
      </x:c>
      <x:c r="H59" s="30" t="n">
        <x:v>0.3</x:v>
      </x:c>
      <x:c r="I59" s="48" t="n">
        <x:f>E59*H59</x:f>
        <x:v>0.045</x:v>
      </x:c>
      <x:c r="J59" s="48" t="n">
        <x:f>F59*H59</x:f>
        <x:v>0.045</x:v>
      </x:c>
      <x:c r="K59" s="48" t="n">
        <x:f>G59*H59</x:f>
        <x:v>0.045</x:v>
      </x:c>
      <x:c r="L59" s="28" t="str">
        <x:v>Replaces portion of temporary long-tail basket</x:v>
      </x:c>
      <x:c r="M59" s="28" t="str">
        <x:v>Low-Medium</x:v>
      </x:c>
      <x:c r="N59" s="28" t="str">
        <x:v>User source hypothesis</x:v>
      </x:c>
    </x:row>
    <x:row r="60">
      <x:c r="A60" s="28" t="str">
        <x:v>JW Anderson</x:v>
      </x:c>
      <x:c r="B60" s="28" t="str">
        <x:v>JW Anderson</x:v>
      </x:c>
      <x:c r="C60" s="28" t="str">
        <x:v>Private independent</x:v>
      </x:c>
      <x:c r="D60" s="28" t="str">
        <x:v>Source-document hypothesis</x:v>
      </x:c>
      <x:c r="E60" s="47" t="n">
        <x:v>0.2</x:v>
      </x:c>
      <x:c r="F60" s="47" t="n">
        <x:v>0.2</x:v>
      </x:c>
      <x:c r="G60" s="47" t="n">
        <x:v>0.2</x:v>
      </x:c>
      <x:c r="H60" s="30" t="n">
        <x:v>0.3</x:v>
      </x:c>
      <x:c r="I60" s="48" t="n">
        <x:f>E60*H60</x:f>
        <x:v>0.06</x:v>
      </x:c>
      <x:c r="J60" s="48" t="n">
        <x:f>F60*H60</x:f>
        <x:v>0.06</x:v>
      </x:c>
      <x:c r="K60" s="48" t="n">
        <x:f>G60*H60</x:f>
        <x:v>0.06</x:v>
      </x:c>
      <x:c r="L60" s="28" t="str">
        <x:v>Replaces portion of temporary long-tail basket</x:v>
      </x:c>
      <x:c r="M60" s="28" t="str">
        <x:v>Low-Medium</x:v>
      </x:c>
      <x:c r="N60" s="28" t="str">
        <x:v>User source hypothesis</x:v>
      </x:c>
    </x:row>
    <x:row r="61">
      <x:c r="A61" s="28" t="str">
        <x:v>Roksanda</x:v>
      </x:c>
      <x:c r="B61" s="28" t="str">
        <x:v>Roksanda</x:v>
      </x:c>
      <x:c r="C61" s="28" t="str">
        <x:v>Private independent</x:v>
      </x:c>
      <x:c r="D61" s="28" t="str">
        <x:v>Source-document hypothesis</x:v>
      </x:c>
      <x:c r="E61" s="47" t="n">
        <x:v>0.1</x:v>
      </x:c>
      <x:c r="F61" s="47" t="n">
        <x:v>0.1</x:v>
      </x:c>
      <x:c r="G61" s="47" t="n">
        <x:v>0.1</x:v>
      </x:c>
      <x:c r="H61" s="30" t="n">
        <x:v>0.3</x:v>
      </x:c>
      <x:c r="I61" s="48" t="n">
        <x:f>E61*H61</x:f>
        <x:v>0.03</x:v>
      </x:c>
      <x:c r="J61" s="48" t="n">
        <x:f>F61*H61</x:f>
        <x:v>0.03</x:v>
      </x:c>
      <x:c r="K61" s="48" t="n">
        <x:f>G61*H61</x:f>
        <x:v>0.03</x:v>
      </x:c>
      <x:c r="L61" s="28" t="str">
        <x:v>Replaces portion of temporary long-tail basket</x:v>
      </x:c>
      <x:c r="M61" s="28" t="str">
        <x:v>Low-Medium</x:v>
      </x:c>
      <x:c r="N61" s="28" t="str">
        <x:v>User source hypothesis</x:v>
      </x:c>
    </x:row>
    <x:row r="62">
      <x:c r="A62" s="28" t="str">
        <x:v>Mary Katrantzou</x:v>
      </x:c>
      <x:c r="B62" s="28" t="str">
        <x:v>Mary Katrantzou</x:v>
      </x:c>
      <x:c r="C62" s="28" t="str">
        <x:v>Private independent</x:v>
      </x:c>
      <x:c r="D62" s="28" t="str">
        <x:v>Source-document hypothesis</x:v>
      </x:c>
      <x:c r="E62" s="47" t="n">
        <x:v>0.1</x:v>
      </x:c>
      <x:c r="F62" s="47" t="n">
        <x:v>0.1</x:v>
      </x:c>
      <x:c r="G62" s="47" t="n">
        <x:v>0.1</x:v>
      </x:c>
      <x:c r="H62" s="30" t="n">
        <x:v>0.3</x:v>
      </x:c>
      <x:c r="I62" s="48" t="n">
        <x:f>E62*H62</x:f>
        <x:v>0.03</x:v>
      </x:c>
      <x:c r="J62" s="48" t="n">
        <x:f>F62*H62</x:f>
        <x:v>0.03</x:v>
      </x:c>
      <x:c r="K62" s="48" t="n">
        <x:f>G62*H62</x:f>
        <x:v>0.03</x:v>
      </x:c>
      <x:c r="L62" s="28" t="str">
        <x:v>Replaces portion of temporary long-tail basket</x:v>
      </x:c>
      <x:c r="M62" s="28" t="str">
        <x:v>Low-Medium</x:v>
      </x:c>
      <x:c r="N62" s="28" t="str">
        <x:v>User source hypothesis</x:v>
      </x:c>
    </x:row>
    <x:row r="63">
      <x:c r="A63" s="28" t="str">
        <x:v>Christopher Kane</x:v>
      </x:c>
      <x:c r="B63" s="28" t="str">
        <x:v>Christopher Kane</x:v>
      </x:c>
      <x:c r="C63" s="28" t="str">
        <x:v>Private independent</x:v>
      </x:c>
      <x:c r="D63" s="28" t="str">
        <x:v>Source-document hypothesis</x:v>
      </x:c>
      <x:c r="E63" s="47" t="n">
        <x:v>0.1</x:v>
      </x:c>
      <x:c r="F63" s="47" t="n">
        <x:v>0.1</x:v>
      </x:c>
      <x:c r="G63" s="47" t="n">
        <x:v>0.1</x:v>
      </x:c>
      <x:c r="H63" s="30" t="n">
        <x:v>0.3</x:v>
      </x:c>
      <x:c r="I63" s="48" t="n">
        <x:f>E63*H63</x:f>
        <x:v>0.03</x:v>
      </x:c>
      <x:c r="J63" s="48" t="n">
        <x:f>F63*H63</x:f>
        <x:v>0.03</x:v>
      </x:c>
      <x:c r="K63" s="48" t="n">
        <x:f>G63*H63</x:f>
        <x:v>0.03</x:v>
      </x:c>
      <x:c r="L63" s="28" t="str">
        <x:v>Replaces portion of temporary long-tail basket</x:v>
      </x:c>
      <x:c r="M63" s="28" t="str">
        <x:v>Low-Medium</x:v>
      </x:c>
      <x:c r="N63" s="28" t="str">
        <x:v>User source hypothesis</x:v>
      </x:c>
    </x:row>
    <x:row r="64">
      <x:c r="A64" s="28" t="str">
        <x:v>Emilia Wickstead</x:v>
      </x:c>
      <x:c r="B64" s="28" t="str">
        <x:v>Emilia Wickstead</x:v>
      </x:c>
      <x:c r="C64" s="28" t="str">
        <x:v>Private independent</x:v>
      </x:c>
      <x:c r="D64" s="28" t="str">
        <x:v>Source-document hypothesis</x:v>
      </x:c>
      <x:c r="E64" s="47" t="n">
        <x:v>0.1</x:v>
      </x:c>
      <x:c r="F64" s="47" t="n">
        <x:v>0.1</x:v>
      </x:c>
      <x:c r="G64" s="47" t="n">
        <x:v>0.1</x:v>
      </x:c>
      <x:c r="H64" s="30" t="n">
        <x:v>0.3</x:v>
      </x:c>
      <x:c r="I64" s="48" t="n">
        <x:f>E64*H64</x:f>
        <x:v>0.03</x:v>
      </x:c>
      <x:c r="J64" s="48" t="n">
        <x:f>F64*H64</x:f>
        <x:v>0.03</x:v>
      </x:c>
      <x:c r="K64" s="48" t="n">
        <x:f>G64*H64</x:f>
        <x:v>0.03</x:v>
      </x:c>
      <x:c r="L64" s="28" t="str">
        <x:v>Replaces portion of temporary long-tail basket</x:v>
      </x:c>
      <x:c r="M64" s="28" t="str">
        <x:v>Low-Medium</x:v>
      </x:c>
      <x:c r="N64" s="28" t="str">
        <x:v>User source hypothesis</x:v>
      </x:c>
    </x:row>
    <x:row r="65">
      <x:c r="A65" s="28" t="str">
        <x:v>Rejina Pyo</x:v>
      </x:c>
      <x:c r="B65" s="28" t="str">
        <x:v>Rejina Pyo</x:v>
      </x:c>
      <x:c r="C65" s="28" t="str">
        <x:v>Private independent</x:v>
      </x:c>
      <x:c r="D65" s="28" t="str">
        <x:v>Source-document hypothesis</x:v>
      </x:c>
      <x:c r="E65" s="47" t="n">
        <x:v>0.08</x:v>
      </x:c>
      <x:c r="F65" s="47" t="n">
        <x:v>0.08</x:v>
      </x:c>
      <x:c r="G65" s="47" t="n">
        <x:v>0.08</x:v>
      </x:c>
      <x:c r="H65" s="30" t="n">
        <x:v>0.3</x:v>
      </x:c>
      <x:c r="I65" s="48" t="n">
        <x:f>E65*H65</x:f>
        <x:v>0.024</x:v>
      </x:c>
      <x:c r="J65" s="48" t="n">
        <x:f>F65*H65</x:f>
        <x:v>0.024</x:v>
      </x:c>
      <x:c r="K65" s="48" t="n">
        <x:f>G65*H65</x:f>
        <x:v>0.024</x:v>
      </x:c>
      <x:c r="L65" s="28" t="str">
        <x:v>Replaces portion of temporary long-tail basket</x:v>
      </x:c>
      <x:c r="M65" s="28" t="str">
        <x:v>Low-Medium</x:v>
      </x:c>
      <x:c r="N65" s="28" t="str">
        <x:v>User source hypothesis</x:v>
      </x:c>
    </x:row>
    <x:row r="66">
      <x:c r="A66" s="28" t="str">
        <x:v>Casablanca</x:v>
      </x:c>
      <x:c r="B66" s="28" t="str">
        <x:v>Casablanca</x:v>
      </x:c>
      <x:c r="C66" s="28" t="str">
        <x:v>Private independent</x:v>
      </x:c>
      <x:c r="D66" s="28" t="str">
        <x:v>Source-document hypothesis</x:v>
      </x:c>
      <x:c r="E66" s="47" t="n">
        <x:v>0.2</x:v>
      </x:c>
      <x:c r="F66" s="47" t="n">
        <x:v>0.2</x:v>
      </x:c>
      <x:c r="G66" s="47" t="n">
        <x:v>0.2</x:v>
      </x:c>
      <x:c r="H66" s="30" t="n">
        <x:v>0.3</x:v>
      </x:c>
      <x:c r="I66" s="48" t="n">
        <x:f>E66*H66</x:f>
        <x:v>0.06</x:v>
      </x:c>
      <x:c r="J66" s="48" t="n">
        <x:f>F66*H66</x:f>
        <x:v>0.06</x:v>
      </x:c>
      <x:c r="K66" s="48" t="n">
        <x:f>G66*H66</x:f>
        <x:v>0.06</x:v>
      </x:c>
      <x:c r="L66" s="28" t="str">
        <x:v>Replaces portion of temporary long-tail basket</x:v>
      </x:c>
      <x:c r="M66" s="28" t="str">
        <x:v>Low-Medium</x:v>
      </x:c>
      <x:c r="N66" s="28" t="str">
        <x:v>User source hypothesis</x:v>
      </x:c>
    </x:row>
    <x:row r="67">
      <x:c r="A67" s="28" t="str">
        <x:v>Marine Serre</x:v>
      </x:c>
      <x:c r="B67" s="28" t="str">
        <x:v>Marine Serre</x:v>
      </x:c>
      <x:c r="C67" s="28" t="str">
        <x:v>Private independent</x:v>
      </x:c>
      <x:c r="D67" s="28" t="str">
        <x:v>Source-document hypothesis</x:v>
      </x:c>
      <x:c r="E67" s="47" t="n">
        <x:v>0.15</x:v>
      </x:c>
      <x:c r="F67" s="47" t="n">
        <x:v>0.15</x:v>
      </x:c>
      <x:c r="G67" s="47" t="n">
        <x:v>0.15</x:v>
      </x:c>
      <x:c r="H67" s="30" t="n">
        <x:v>0.3</x:v>
      </x:c>
      <x:c r="I67" s="48" t="n">
        <x:f>E67*H67</x:f>
        <x:v>0.045</x:v>
      </x:c>
      <x:c r="J67" s="48" t="n">
        <x:f>F67*H67</x:f>
        <x:v>0.045</x:v>
      </x:c>
      <x:c r="K67" s="48" t="n">
        <x:f>G67*H67</x:f>
        <x:v>0.045</x:v>
      </x:c>
      <x:c r="L67" s="28" t="str">
        <x:v>Replaces portion of temporary long-tail basket</x:v>
      </x:c>
      <x:c r="M67" s="28" t="str">
        <x:v>Low-Medium</x:v>
      </x:c>
      <x:c r="N67" s="28" t="str">
        <x:v>User source hypothesis</x:v>
      </x:c>
    </x:row>
    <x:row r="68">
      <x:c r="A68" s="28" t="str">
        <x:v>Coperni</x:v>
      </x:c>
      <x:c r="B68" s="28" t="str">
        <x:v>Coperni</x:v>
      </x:c>
      <x:c r="C68" s="28" t="str">
        <x:v>Private independent</x:v>
      </x:c>
      <x:c r="D68" s="28" t="str">
        <x:v>Source-document hypothesis</x:v>
      </x:c>
      <x:c r="E68" s="47" t="n">
        <x:v>0.15</x:v>
      </x:c>
      <x:c r="F68" s="47" t="n">
        <x:v>0.15</x:v>
      </x:c>
      <x:c r="G68" s="47" t="n">
        <x:v>0.15</x:v>
      </x:c>
      <x:c r="H68" s="30" t="n">
        <x:v>0.3</x:v>
      </x:c>
      <x:c r="I68" s="48" t="n">
        <x:f>E68*H68</x:f>
        <x:v>0.045</x:v>
      </x:c>
      <x:c r="J68" s="48" t="n">
        <x:f>F68*H68</x:f>
        <x:v>0.045</x:v>
      </x:c>
      <x:c r="K68" s="48" t="n">
        <x:f>G68*H68</x:f>
        <x:v>0.045</x:v>
      </x:c>
      <x:c r="L68" s="28" t="str">
        <x:v>Replaces portion of temporary long-tail basket</x:v>
      </x:c>
      <x:c r="M68" s="28" t="str">
        <x:v>Low-Medium</x:v>
      </x:c>
      <x:c r="N68" s="28" t="str">
        <x:v>User source hypothesis</x:v>
      </x:c>
    </x:row>
    <x:row r="69">
      <x:c r="A69" s="28" t="str">
        <x:v>Cavalli</x:v>
      </x:c>
      <x:c r="B69" s="28" t="str">
        <x:v>Cavalli</x:v>
      </x:c>
      <x:c r="C69" s="28" t="str">
        <x:v>Private independent</x:v>
      </x:c>
      <x:c r="D69" s="28" t="str">
        <x:v>Source-document hypothesis</x:v>
      </x:c>
      <x:c r="E69" s="47" t="n">
        <x:v>0.3</x:v>
      </x:c>
      <x:c r="F69" s="47" t="n">
        <x:v>0.3</x:v>
      </x:c>
      <x:c r="G69" s="47" t="n">
        <x:v>0.3</x:v>
      </x:c>
      <x:c r="H69" s="30" t="n">
        <x:v>0.3</x:v>
      </x:c>
      <x:c r="I69" s="48" t="n">
        <x:f>E69*H69</x:f>
        <x:v>0.09</x:v>
      </x:c>
      <x:c r="J69" s="48" t="n">
        <x:f>F69*H69</x:f>
        <x:v>0.09</x:v>
      </x:c>
      <x:c r="K69" s="48" t="n">
        <x:f>G69*H69</x:f>
        <x:v>0.09</x:v>
      </x:c>
      <x:c r="L69" s="28" t="str">
        <x:v>Replaces portion of temporary long-tail basket</x:v>
      </x:c>
      <x:c r="M69" s="28" t="str">
        <x:v>Low-Medium</x:v>
      </x:c>
      <x:c r="N69" s="28" t="str">
        <x:v>User source hypothesis</x:v>
      </x:c>
    </x:row>
    <x:row r="70">
      <x:c r="A70" s="28" t="str">
        <x:v>Qosmedix / Paramount Beauty</x:v>
      </x:c>
      <x:c r="B70" s="28" t="str">
        <x:v>Salon supply</x:v>
      </x:c>
      <x:c r="C70" s="28" t="str">
        <x:v>Private support asset</x:v>
      </x:c>
      <x:c r="D70" s="28" t="str">
        <x:v>Source-document hypothesis</x:v>
      </x:c>
      <x:c r="E70" s="47" t="n">
        <x:v>0.4</x:v>
      </x:c>
      <x:c r="F70" s="47" t="n">
        <x:v>0.4</x:v>
      </x:c>
      <x:c r="G70" s="47" t="n">
        <x:v>0.4</x:v>
      </x:c>
      <x:c r="H70" s="30" t="n">
        <x:v>0.3</x:v>
      </x:c>
      <x:c r="I70" s="48" t="n">
        <x:f>E70*H70</x:f>
        <x:v>0.12</x:v>
      </x:c>
      <x:c r="J70" s="48" t="n">
        <x:f>F70*H70</x:f>
        <x:v>0.12</x:v>
      </x:c>
      <x:c r="K70" s="48" t="n">
        <x:f>G70*H70</x:f>
        <x:v>0.12</x:v>
      </x:c>
      <x:c r="L70" s="28" t="str">
        <x:v>Explicit source row; controlling-stake wording conflicts with $120M investment, so 30% retained pending audit</x:v>
      </x:c>
      <x:c r="M70" s="28" t="str">
        <x:v>Low-Medium</x:v>
      </x:c>
      <x:c r="N70" s="28" t="str">
        <x:v>User source hypothesis</x:v>
      </x:c>
    </x:row>
    <x:row r="71">
      <x:c r="A71" s="28" t="str">
        <x:v>Six Senses Spa Group</x:v>
      </x:c>
      <x:c r="B71" s="28" t="str">
        <x:v>Global destinations</x:v>
      </x:c>
      <x:c r="C71" s="28" t="str">
        <x:v>Hospitality / spa</x:v>
      </x:c>
      <x:c r="D71" s="28" t="str">
        <x:v>Source-document hypothesis</x:v>
      </x:c>
      <x:c r="E71" s="47" t="n">
        <x:v>2</x:v>
      </x:c>
      <x:c r="F71" s="47" t="n">
        <x:v>2</x:v>
      </x:c>
      <x:c r="G71" s="47" t="n">
        <x:v>2</x:v>
      </x:c>
      <x:c r="H71" s="30" t="n">
        <x:v>0.3</x:v>
      </x:c>
      <x:c r="I71" s="48" t="n">
        <x:f>E71*H71</x:f>
        <x:v>0.6</x:v>
      </x:c>
      <x:c r="J71" s="48" t="n">
        <x:f>F71*H71</x:f>
        <x:v>0.6</x:v>
      </x:c>
      <x:c r="K71" s="48" t="n">
        <x:f>G71*H71</x:f>
        <x:v>0.6</x:v>
      </x:c>
      <x:c r="L71" s="28" t="str">
        <x:v>NEW hospitality layer</x:v>
      </x:c>
      <x:c r="M71" s="28" t="str">
        <x:v>Low-Medium</x:v>
      </x:c>
      <x:c r="N71" s="28" t="str">
        <x:v>User source hypothesis</x:v>
      </x:c>
    </x:row>
    <x:row r="72">
      <x:c r="A72" s="28" t="str">
        <x:v>Mandarin Oriental Spa Network</x:v>
      </x:c>
      <x:c r="B72" s="28" t="str">
        <x:v>Spa network</x:v>
      </x:c>
      <x:c r="C72" s="28" t="str">
        <x:v>Hospitality / spa</x:v>
      </x:c>
      <x:c r="D72" s="28" t="str">
        <x:v>Source-document hypothesis</x:v>
      </x:c>
      <x:c r="E72" s="47" t="n">
        <x:v>4</x:v>
      </x:c>
      <x:c r="F72" s="47" t="n">
        <x:v>4</x:v>
      </x:c>
      <x:c r="G72" s="47" t="n">
        <x:v>4</x:v>
      </x:c>
      <x:c r="H72" s="30" t="n">
        <x:v>0.3</x:v>
      </x:c>
      <x:c r="I72" s="48" t="n">
        <x:f>E72*H72</x:f>
        <x:v>1.2</x:v>
      </x:c>
      <x:c r="J72" s="48" t="n">
        <x:f>F72*H72</x:f>
        <x:v>1.2</x:v>
      </x:c>
      <x:c r="K72" s="48" t="n">
        <x:f>G72*H72</x:f>
        <x:v>1.2</x:v>
      </x:c>
      <x:c r="L72" s="28" t="str">
        <x:v>NEW hospitality layer</x:v>
      </x:c>
      <x:c r="M72" s="28" t="str">
        <x:v>Low-Medium</x:v>
      </x:c>
      <x:c r="N72" s="28" t="str">
        <x:v>User source hypothesis</x:v>
      </x:c>
    </x:row>
    <x:row r="73">
      <x:c r="A73" s="28" t="str">
        <x:v>Anantara Spa Portfolio</x:v>
      </x:c>
      <x:c r="B73" s="28" t="str">
        <x:v>Spa portfolio</x:v>
      </x:c>
      <x:c r="C73" s="28" t="str">
        <x:v>Hospitality / spa</x:v>
      </x:c>
      <x:c r="D73" s="28" t="str">
        <x:v>Source-document hypothesis</x:v>
      </x:c>
      <x:c r="E73" s="47" t="n">
        <x:v>1.5</x:v>
      </x:c>
      <x:c r="F73" s="47" t="n">
        <x:v>1.5</x:v>
      </x:c>
      <x:c r="G73" s="47" t="n">
        <x:v>1.5</x:v>
      </x:c>
      <x:c r="H73" s="30" t="n">
        <x:v>0.3</x:v>
      </x:c>
      <x:c r="I73" s="48" t="n">
        <x:f>E73*H73</x:f>
        <x:v>0.44999999999999996</x:v>
      </x:c>
      <x:c r="J73" s="48" t="n">
        <x:f>F73*H73</x:f>
        <x:v>0.44999999999999996</x:v>
      </x:c>
      <x:c r="K73" s="48" t="n">
        <x:f>G73*H73</x:f>
        <x:v>0.44999999999999996</x:v>
      </x:c>
      <x:c r="L73" s="28" t="str">
        <x:v>NEW hospitality layer</x:v>
      </x:c>
      <x:c r="M73" s="28" t="str">
        <x:v>Low-Medium</x:v>
      </x:c>
      <x:c r="N73" s="28" t="str">
        <x:v>User source hypothesis</x:v>
      </x:c>
    </x:row>
    <x:row r="74">
      <x:c r="A74" s="28" t="str">
        <x:v>COMO Shambhala Estate</x:v>
      </x:c>
      <x:c r="B74" s="28" t="str">
        <x:v>Bali wellness estate</x:v>
      </x:c>
      <x:c r="C74" s="28" t="str">
        <x:v>Hospitality / spa</x:v>
      </x:c>
      <x:c r="D74" s="28" t="str">
        <x:v>Source-document hypothesis</x:v>
      </x:c>
      <x:c r="E74" s="47" t="n">
        <x:v>0.5</x:v>
      </x:c>
      <x:c r="F74" s="47" t="n">
        <x:v>0.5</x:v>
      </x:c>
      <x:c r="G74" s="47" t="n">
        <x:v>0.5</x:v>
      </x:c>
      <x:c r="H74" s="30" t="n">
        <x:v>0.3</x:v>
      </x:c>
      <x:c r="I74" s="48" t="n">
        <x:f>E74*H74</x:f>
        <x:v>0.15</x:v>
      </x:c>
      <x:c r="J74" s="48" t="n">
        <x:f>F74*H74</x:f>
        <x:v>0.15</x:v>
      </x:c>
      <x:c r="K74" s="48" t="n">
        <x:f>G74*H74</x:f>
        <x:v>0.15</x:v>
      </x:c>
      <x:c r="L74" s="28" t="str">
        <x:v>NEW hospitality layer</x:v>
      </x:c>
      <x:c r="M74" s="28" t="str">
        <x:v>Low-Medium</x:v>
      </x:c>
      <x:c r="N74" s="28" t="str">
        <x:v>User source hypothesis</x:v>
      </x:c>
    </x:row>
    <x:row r="75">
      <x:c r="A75" s="28" t="str">
        <x:v>SHA Wellness Clinic</x:v>
      </x:c>
      <x:c r="B75" s="28" t="str">
        <x:v>Spain</x:v>
      </x:c>
      <x:c r="C75" s="28" t="str">
        <x:v>Hospitality / spa</x:v>
      </x:c>
      <x:c r="D75" s="28" t="str">
        <x:v>Source-document hypothesis</x:v>
      </x:c>
      <x:c r="E75" s="47" t="n">
        <x:v>0.6</x:v>
      </x:c>
      <x:c r="F75" s="47" t="n">
        <x:v>0.6</x:v>
      </x:c>
      <x:c r="G75" s="47" t="n">
        <x:v>0.6</x:v>
      </x:c>
      <x:c r="H75" s="30" t="n">
        <x:v>0.3</x:v>
      </x:c>
      <x:c r="I75" s="48" t="n">
        <x:f>E75*H75</x:f>
        <x:v>0.18</x:v>
      </x:c>
      <x:c r="J75" s="48" t="n">
        <x:f>F75*H75</x:f>
        <x:v>0.18</x:v>
      </x:c>
      <x:c r="K75" s="48" t="n">
        <x:f>G75*H75</x:f>
        <x:v>0.18</x:v>
      </x:c>
      <x:c r="L75" s="28" t="str">
        <x:v>NEW hospitality layer</x:v>
      </x:c>
      <x:c r="M75" s="28" t="str">
        <x:v>Low-Medium</x:v>
      </x:c>
      <x:c r="N75" s="28" t="str">
        <x:v>User source hypothesis</x:v>
      </x:c>
    </x:row>
    <x:row r="76">
      <x:c r="A76" s="28" t="str">
        <x:v>Canyon Ranch</x:v>
      </x:c>
      <x:c r="B76" s="28" t="str">
        <x:v>Tucson &amp; Las Vegas</x:v>
      </x:c>
      <x:c r="C76" s="28" t="str">
        <x:v>Hospitality / spa</x:v>
      </x:c>
      <x:c r="D76" s="28" t="str">
        <x:v>Source-document hypothesis</x:v>
      </x:c>
      <x:c r="E76" s="47" t="n">
        <x:v>0.8</x:v>
      </x:c>
      <x:c r="F76" s="47" t="n">
        <x:v>0.8</x:v>
      </x:c>
      <x:c r="G76" s="47" t="n">
        <x:v>0.8</x:v>
      </x:c>
      <x:c r="H76" s="30" t="n">
        <x:v>0.3</x:v>
      </x:c>
      <x:c r="I76" s="48" t="n">
        <x:f>E76*H76</x:f>
        <x:v>0.24</x:v>
      </x:c>
      <x:c r="J76" s="48" t="n">
        <x:f>F76*H76</x:f>
        <x:v>0.24</x:v>
      </x:c>
      <x:c r="K76" s="48" t="n">
        <x:f>G76*H76</x:f>
        <x:v>0.24</x:v>
      </x:c>
      <x:c r="L76" s="28" t="str">
        <x:v>NEW hospitality layer</x:v>
      </x:c>
      <x:c r="M76" s="28" t="str">
        <x:v>Low-Medium</x:v>
      </x:c>
      <x:c r="N76" s="28" t="str">
        <x:v>User source hypothesis</x:v>
      </x:c>
    </x:row>
    <x:row r="77">
      <x:c r="A77" s="28" t="str">
        <x:v>Lanserhof Medical Spa</x:v>
      </x:c>
      <x:c r="B77" s="28" t="str">
        <x:v>Germany / Austria</x:v>
      </x:c>
      <x:c r="C77" s="28" t="str">
        <x:v>Hospitality / spa</x:v>
      </x:c>
      <x:c r="D77" s="28" t="str">
        <x:v>Source-document hypothesis</x:v>
      </x:c>
      <x:c r="E77" s="47" t="n">
        <x:v>0.7</x:v>
      </x:c>
      <x:c r="F77" s="47" t="n">
        <x:v>0.7</x:v>
      </x:c>
      <x:c r="G77" s="47" t="n">
        <x:v>0.7</x:v>
      </x:c>
      <x:c r="H77" s="30" t="n">
        <x:v>0.3</x:v>
      </x:c>
      <x:c r="I77" s="48" t="n">
        <x:f>E77*H77</x:f>
        <x:v>0.21</x:v>
      </x:c>
      <x:c r="J77" s="48" t="n">
        <x:f>F77*H77</x:f>
        <x:v>0.21</x:v>
      </x:c>
      <x:c r="K77" s="48" t="n">
        <x:f>G77*H77</x:f>
        <x:v>0.21</x:v>
      </x:c>
      <x:c r="L77" s="28" t="str">
        <x:v>NEW hospitality layer</x:v>
      </x:c>
      <x:c r="M77" s="28" t="str">
        <x:v>Low-Medium</x:v>
      </x:c>
      <x:c r="N77" s="28" t="str">
        <x:v>User source hypothesis</x:v>
      </x:c>
    </x:row>
    <x:row r="78">
      <x:c r="A78" s="28" t="str">
        <x:v>Banyan Tree Spa Sanctuary</x:v>
      </x:c>
      <x:c r="B78" s="28" t="str">
        <x:v>Phuket</x:v>
      </x:c>
      <x:c r="C78" s="28" t="str">
        <x:v>Hospitality / spa</x:v>
      </x:c>
      <x:c r="D78" s="28" t="str">
        <x:v>Source-document hypothesis</x:v>
      </x:c>
      <x:c r="E78" s="47" t="n">
        <x:v>1</x:v>
      </x:c>
      <x:c r="F78" s="47" t="n">
        <x:v>1</x:v>
      </x:c>
      <x:c r="G78" s="47" t="n">
        <x:v>1</x:v>
      </x:c>
      <x:c r="H78" s="30" t="n">
        <x:v>0.3</x:v>
      </x:c>
      <x:c r="I78" s="48" t="n">
        <x:f>E78*H78</x:f>
        <x:v>0.3</x:v>
      </x:c>
      <x:c r="J78" s="48" t="n">
        <x:f>F78*H78</x:f>
        <x:v>0.3</x:v>
      </x:c>
      <x:c r="K78" s="48" t="n">
        <x:f>G78*H78</x:f>
        <x:v>0.3</x:v>
      </x:c>
      <x:c r="L78" s="28" t="str">
        <x:v>NEW hospitality layer</x:v>
      </x:c>
      <x:c r="M78" s="28" t="str">
        <x:v>Low-Medium</x:v>
      </x:c>
      <x:c r="N78" s="28" t="str">
        <x:v>User source hypothesis</x:v>
      </x:c>
    </x:row>
    <x:row r="79">
      <x:c r="A79" s="28" t="str">
        <x:v>Aman Spa Network</x:v>
      </x:c>
      <x:c r="B79" s="28" t="str">
        <x:v>Global resorts</x:v>
      </x:c>
      <x:c r="C79" s="28" t="str">
        <x:v>Hospitality / spa</x:v>
      </x:c>
      <x:c r="D79" s="28" t="str">
        <x:v>Source-document hypothesis</x:v>
      </x:c>
      <x:c r="E79" s="47" t="n">
        <x:v>3</x:v>
      </x:c>
      <x:c r="F79" s="47" t="n">
        <x:v>3</x:v>
      </x:c>
      <x:c r="G79" s="47" t="n">
        <x:v>3</x:v>
      </x:c>
      <x:c r="H79" s="30" t="n">
        <x:v>0.3</x:v>
      </x:c>
      <x:c r="I79" s="48" t="n">
        <x:f>E79*H79</x:f>
        <x:v>0.8999999999999999</x:v>
      </x:c>
      <x:c r="J79" s="48" t="n">
        <x:f>F79*H79</x:f>
        <x:v>0.8999999999999999</x:v>
      </x:c>
      <x:c r="K79" s="48" t="n">
        <x:f>G79*H79</x:f>
        <x:v>0.8999999999999999</x:v>
      </x:c>
      <x:c r="L79" s="28" t="str">
        <x:v>NEW hospitality layer</x:v>
      </x:c>
      <x:c r="M79" s="28" t="str">
        <x:v>Low-Medium</x:v>
      </x:c>
      <x:c r="N79" s="28" t="str">
        <x:v>User source hypothesis</x:v>
      </x:c>
    </x:row>
    <x:row r="80">
      <x:c r="A80" s="28" t="str">
        <x:v>The Peninsula Spa Network</x:v>
      </x:c>
      <x:c r="B80" s="28" t="str">
        <x:v>Spa network</x:v>
      </x:c>
      <x:c r="C80" s="28" t="str">
        <x:v>Hospitality / spa</x:v>
      </x:c>
      <x:c r="D80" s="28" t="str">
        <x:v>Source-document hypothesis</x:v>
      </x:c>
      <x:c r="E80" s="47" t="n">
        <x:v>2.5</x:v>
      </x:c>
      <x:c r="F80" s="47" t="n">
        <x:v>2.5</x:v>
      </x:c>
      <x:c r="G80" s="47" t="n">
        <x:v>2.5</x:v>
      </x:c>
      <x:c r="H80" s="30" t="n">
        <x:v>0.3</x:v>
      </x:c>
      <x:c r="I80" s="48" t="n">
        <x:f>E80*H80</x:f>
        <x:v>0.75</x:v>
      </x:c>
      <x:c r="J80" s="48" t="n">
        <x:f>F80*H80</x:f>
        <x:v>0.75</x:v>
      </x:c>
      <x:c r="K80" s="48" t="n">
        <x:f>G80*H80</x:f>
        <x:v>0.75</x:v>
      </x:c>
      <x:c r="L80" s="28" t="str">
        <x:v>NEW hospitality layer</x:v>
      </x:c>
      <x:c r="M80" s="28" t="str">
        <x:v>Low-Medium</x:v>
      </x:c>
      <x:c r="N80" s="28" t="str">
        <x:v>User source hypothesis</x:v>
      </x:c>
    </x:row>
    <x:row r="81">
      <x:c r="A81" s="28" t="str">
        <x:v>Raffles Spa Network</x:v>
      </x:c>
      <x:c r="B81" s="28" t="str">
        <x:v>Spa network</x:v>
      </x:c>
      <x:c r="C81" s="28" t="str">
        <x:v>Hospitality / spa</x:v>
      </x:c>
      <x:c r="D81" s="28" t="str">
        <x:v>Source-document hypothesis</x:v>
      </x:c>
      <x:c r="E81" s="47" t="n">
        <x:v>2</x:v>
      </x:c>
      <x:c r="F81" s="47" t="n">
        <x:v>2</x:v>
      </x:c>
      <x:c r="G81" s="47" t="n">
        <x:v>2</x:v>
      </x:c>
      <x:c r="H81" s="30" t="n">
        <x:v>0.3</x:v>
      </x:c>
      <x:c r="I81" s="48" t="n">
        <x:f>E81*H81</x:f>
        <x:v>0.6</x:v>
      </x:c>
      <x:c r="J81" s="48" t="n">
        <x:f>F81*H81</x:f>
        <x:v>0.6</x:v>
      </x:c>
      <x:c r="K81" s="48" t="n">
        <x:f>G81*H81</x:f>
        <x:v>0.6</x:v>
      </x:c>
      <x:c r="L81" s="28" t="str">
        <x:v>NEW hospitality layer</x:v>
      </x:c>
      <x:c r="M81" s="28" t="str">
        <x:v>Low-Medium</x:v>
      </x:c>
      <x:c r="N81" s="28" t="str">
        <x:v>User source hypothesis</x:v>
      </x:c>
    </x:row>
    <x:row r="82">
      <x:c r="A82" s="28" t="str">
        <x:v>One&amp;Only Spa Network</x:v>
      </x:c>
      <x:c r="B82" s="28" t="str">
        <x:v>Spa network</x:v>
      </x:c>
      <x:c r="C82" s="28" t="str">
        <x:v>Hospitality / spa</x:v>
      </x:c>
      <x:c r="D82" s="28" t="str">
        <x:v>Source-document hypothesis</x:v>
      </x:c>
      <x:c r="E82" s="47" t="n">
        <x:v>2.5</x:v>
      </x:c>
      <x:c r="F82" s="47" t="n">
        <x:v>2.5</x:v>
      </x:c>
      <x:c r="G82" s="47" t="n">
        <x:v>2.5</x:v>
      </x:c>
      <x:c r="H82" s="30" t="n">
        <x:v>0.3</x:v>
      </x:c>
      <x:c r="I82" s="48" t="n">
        <x:f>E82*H82</x:f>
        <x:v>0.75</x:v>
      </x:c>
      <x:c r="J82" s="48" t="n">
        <x:f>F82*H82</x:f>
        <x:v>0.75</x:v>
      </x:c>
      <x:c r="K82" s="48" t="n">
        <x:f>G82*H82</x:f>
        <x:v>0.75</x:v>
      </x:c>
      <x:c r="L82" s="28" t="str">
        <x:v>NEW hospitality layer</x:v>
      </x:c>
      <x:c r="M82" s="28" t="str">
        <x:v>Low-Medium</x:v>
      </x:c>
      <x:c r="N82" s="28" t="str">
        <x:v>User source hypothesis</x:v>
      </x:c>
    </x:row>
    <x:row r="83">
      <x:c r="A83" s="28" t="str">
        <x:v>Rosewood Sense Spa Network</x:v>
      </x:c>
      <x:c r="B83" s="28" t="str">
        <x:v>Spa network</x:v>
      </x:c>
      <x:c r="C83" s="28" t="str">
        <x:v>Hospitality / spa</x:v>
      </x:c>
      <x:c r="D83" s="28" t="str">
        <x:v>Source-document hypothesis</x:v>
      </x:c>
      <x:c r="E83" s="47" t="n">
        <x:v>2</x:v>
      </x:c>
      <x:c r="F83" s="47" t="n">
        <x:v>2</x:v>
      </x:c>
      <x:c r="G83" s="47" t="n">
        <x:v>2</x:v>
      </x:c>
      <x:c r="H83" s="30" t="n">
        <x:v>0.3</x:v>
      </x:c>
      <x:c r="I83" s="48" t="n">
        <x:f>E83*H83</x:f>
        <x:v>0.6</x:v>
      </x:c>
      <x:c r="J83" s="48" t="n">
        <x:f>F83*H83</x:f>
        <x:v>0.6</x:v>
      </x:c>
      <x:c r="K83" s="48" t="n">
        <x:f>G83*H83</x:f>
        <x:v>0.6</x:v>
      </x:c>
      <x:c r="L83" s="28" t="str">
        <x:v>NEW hospitality layer</x:v>
      </x:c>
      <x:c r="M83" s="28" t="str">
        <x:v>Low-Medium</x:v>
      </x:c>
      <x:c r="N83" s="28" t="str">
        <x:v>User source hypothesis</x:v>
      </x:c>
    </x:row>
    <x:row r="84">
      <x:c r="A84" s="28" t="str">
        <x:v>Miraval Resorts &amp; Spas</x:v>
      </x:c>
      <x:c r="B84" s="28" t="str">
        <x:v>Resorts &amp; spas</x:v>
      </x:c>
      <x:c r="C84" s="28" t="str">
        <x:v>Hospitality / spa</x:v>
      </x:c>
      <x:c r="D84" s="28" t="str">
        <x:v>Source-document hypothesis</x:v>
      </x:c>
      <x:c r="E84" s="47" t="n">
        <x:v>0.6</x:v>
      </x:c>
      <x:c r="F84" s="47" t="n">
        <x:v>0.6</x:v>
      </x:c>
      <x:c r="G84" s="47" t="n">
        <x:v>0.6</x:v>
      </x:c>
      <x:c r="H84" s="30" t="n">
        <x:v>0.3</x:v>
      </x:c>
      <x:c r="I84" s="48" t="n">
        <x:f>E84*H84</x:f>
        <x:v>0.18</x:v>
      </x:c>
      <x:c r="J84" s="48" t="n">
        <x:f>F84*H84</x:f>
        <x:v>0.18</x:v>
      </x:c>
      <x:c r="K84" s="48" t="n">
        <x:f>G84*H84</x:f>
        <x:v>0.18</x:v>
      </x:c>
      <x:c r="L84" s="28" t="str">
        <x:v>NEW hospitality layer</x:v>
      </x:c>
      <x:c r="M84" s="28" t="str">
        <x:v>Low-Medium</x:v>
      </x:c>
      <x:c r="N84" s="28" t="str">
        <x:v>User source hypothesis</x:v>
      </x:c>
    </x:row>
    <x:row r="85">
      <x:c r="A85" s="28" t="str">
        <x:v>Chiva-Som</x:v>
      </x:c>
      <x:c r="B85" s="28" t="str">
        <x:v>Thailand</x:v>
      </x:c>
      <x:c r="C85" s="28" t="str">
        <x:v>Hospitality / spa</x:v>
      </x:c>
      <x:c r="D85" s="28" t="str">
        <x:v>Source-document hypothesis</x:v>
      </x:c>
      <x:c r="E85" s="47" t="n">
        <x:v>0.4</x:v>
      </x:c>
      <x:c r="F85" s="47" t="n">
        <x:v>0.4</x:v>
      </x:c>
      <x:c r="G85" s="47" t="n">
        <x:v>0.4</x:v>
      </x:c>
      <x:c r="H85" s="30" t="n">
        <x:v>0.3</x:v>
      </x:c>
      <x:c r="I85" s="48" t="n">
        <x:f>E85*H85</x:f>
        <x:v>0.12</x:v>
      </x:c>
      <x:c r="J85" s="48" t="n">
        <x:f>F85*H85</x:f>
        <x:v>0.12</x:v>
      </x:c>
      <x:c r="K85" s="48" t="n">
        <x:f>G85*H85</x:f>
        <x:v>0.12</x:v>
      </x:c>
      <x:c r="L85" s="28" t="str">
        <x:v>NEW hospitality layer</x:v>
      </x:c>
      <x:c r="M85" s="28" t="str">
        <x:v>Low-Medium</x:v>
      </x:c>
      <x:c r="N85" s="28" t="str">
        <x:v>User source hypothesis</x:v>
      </x:c>
    </x:row>
    <x:row r="86">
      <x:c r="A86" s="28" t="str">
        <x:v>Kohler Waters Spa</x:v>
      </x:c>
      <x:c r="B86" s="28" t="str">
        <x:v>Spa</x:v>
      </x:c>
      <x:c r="C86" s="28" t="str">
        <x:v>Hospitality / spa</x:v>
      </x:c>
      <x:c r="D86" s="28" t="str">
        <x:v>Source-document hypothesis</x:v>
      </x:c>
      <x:c r="E86" s="47" t="n">
        <x:v>0.3</x:v>
      </x:c>
      <x:c r="F86" s="47" t="n">
        <x:v>0.3</x:v>
      </x:c>
      <x:c r="G86" s="47" t="n">
        <x:v>0.3</x:v>
      </x:c>
      <x:c r="H86" s="30" t="n">
        <x:v>0.3</x:v>
      </x:c>
      <x:c r="I86" s="48" t="n">
        <x:f>E86*H86</x:f>
        <x:v>0.09</x:v>
      </x:c>
      <x:c r="J86" s="48" t="n">
        <x:f>F86*H86</x:f>
        <x:v>0.09</x:v>
      </x:c>
      <x:c r="K86" s="48" t="n">
        <x:f>G86*H86</x:f>
        <x:v>0.09</x:v>
      </x:c>
      <x:c r="L86" s="28" t="str">
        <x:v>NEW hospitality layer</x:v>
      </x:c>
      <x:c r="M86" s="28" t="str">
        <x:v>Low-Medium</x:v>
      </x:c>
      <x:c r="N86" s="28" t="str">
        <x:v>User source hypothesis</x:v>
      </x:c>
    </x:row>
    <x:row r="87">
      <x:c r="A87" s="28" t="str">
        <x:v>Bleckmann Global Logistics</x:v>
      </x:c>
      <x:c r="B87" s="28" t="str">
        <x:v>Fulfillment</x:v>
      </x:c>
      <x:c r="C87" s="28" t="str">
        <x:v>Private infrastructure</x:v>
      </x:c>
      <x:c r="D87" s="28" t="str">
        <x:v>Source-document asset-base hypothesis</x:v>
      </x:c>
      <x:c r="E87" s="47" t="n">
        <x:v>2</x:v>
      </x:c>
      <x:c r="F87" s="47" t="n">
        <x:v>2</x:v>
      </x:c>
      <x:c r="G87" s="47" t="n">
        <x:v>2</x:v>
      </x:c>
      <x:c r="H87" s="30" t="n">
        <x:v>1</x:v>
      </x:c>
      <x:c r="I87" s="48" t="n">
        <x:f>E87*H87</x:f>
        <x:v>2</x:v>
      </x:c>
      <x:c r="J87" s="48" t="n">
        <x:f>F87*H87</x:f>
        <x:v>2</x:v>
      </x:c>
      <x:c r="K87" s="48" t="n">
        <x:f>G87*H87</x:f>
        <x:v>2</x:v>
      </x:c>
      <x:c r="L87" s="28" t="str">
        <x:v>100% outright acquisition in source</x:v>
      </x:c>
      <x:c r="M87" s="28" t="str">
        <x:v>Medium</x:v>
      </x:c>
      <x:c r="N87" s="28" t="str">
        <x:v>User source hypothesis</x:v>
      </x:c>
    </x:row>
    <x:row r="88">
      <x:c r="A88" s="28" t="str">
        <x:v>Crown Logistics</x:v>
      </x:c>
      <x:c r="B88" s="28" t="str">
        <x:v>Secure freight</x:v>
      </x:c>
      <x:c r="C88" s="28" t="str">
        <x:v>Private infrastructure</x:v>
      </x:c>
      <x:c r="D88" s="28" t="str">
        <x:v>Source-document asset-base hypothesis</x:v>
      </x:c>
      <x:c r="E88" s="47" t="n">
        <x:v>1</x:v>
      </x:c>
      <x:c r="F88" s="47" t="n">
        <x:v>1</x:v>
      </x:c>
      <x:c r="G88" s="47" t="n">
        <x:v>1</x:v>
      </x:c>
      <x:c r="H88" s="30" t="n">
        <x:v>1</x:v>
      </x:c>
      <x:c r="I88" s="48" t="n">
        <x:f>E88*H88</x:f>
        <x:v>1</x:v>
      </x:c>
      <x:c r="J88" s="48" t="n">
        <x:f>F88*H88</x:f>
        <x:v>1</x:v>
      </x:c>
      <x:c r="K88" s="48" t="n">
        <x:f>G88*H88</x:f>
        <x:v>1</x:v>
      </x:c>
      <x:c r="L88" s="28" t="str">
        <x:v>100% outright acquisition in source</x:v>
      </x:c>
      <x:c r="M88" s="28" t="str">
        <x:v>Medium</x:v>
      </x:c>
      <x:c r="N88" s="28" t="str">
        <x:v>User source hypothesis</x:v>
      </x:c>
    </x:row>
    <x:row r="89">
      <x:c r="A89" s="28" t="str">
        <x:v>Como Silk Textile Weaving Cooperatives</x:v>
      </x:c>
      <x:c r="B89" s="28" t="str">
        <x:v>Textile infrastructure</x:v>
      </x:c>
      <x:c r="C89" s="28" t="str">
        <x:v>Private infrastructure</x:v>
      </x:c>
      <x:c r="D89" s="28" t="str">
        <x:v>Source-document asset-base hypothesis</x:v>
      </x:c>
      <x:c r="E89" s="47" t="n">
        <x:v>0.5</x:v>
      </x:c>
      <x:c r="F89" s="47" t="n">
        <x:v>0.5</x:v>
      </x:c>
      <x:c r="G89" s="47" t="n">
        <x:v>0.5</x:v>
      </x:c>
      <x:c r="H89" s="30" t="n">
        <x:v>1</x:v>
      </x:c>
      <x:c r="I89" s="48" t="n">
        <x:f>E89*H89</x:f>
        <x:v>0.5</x:v>
      </x:c>
      <x:c r="J89" s="48" t="n">
        <x:f>F89*H89</x:f>
        <x:v>0.5</x:v>
      </x:c>
      <x:c r="K89" s="48" t="n">
        <x:f>G89*H89</x:f>
        <x:v>0.5</x:v>
      </x:c>
      <x:c r="L89" s="28" t="str">
        <x:v>100% outright acquisition in source</x:v>
      </x:c>
      <x:c r="M89" s="28" t="str">
        <x:v>Medium</x:v>
      </x:c>
      <x:c r="N89" s="28" t="str">
        <x:v>User source hypothesis</x:v>
      </x:c>
    </x:row>
    <x:row r="90">
      <x:c r="A90" t="str">
        <x:v>Manicured Fingers acquisition program</x:v>
      </x:c>
      <x:c r="B90" t="str">
        <x:v>37 lingerie/innerwear/beauty targets; see dedicated sheet</x:v>
      </x:c>
      <x:c r="C90" t="str">
        <x:v>Acquisition program</x:v>
      </x:c>
      <x:c r="D90" t="str">
        <x:v>Midpoint current/hypothesis values</x:v>
      </x:c>
      <x:c r="E90" s="56" t="n">
        <x:f>'Manicured Fingers'!B45</x:f>
        <x:v>94.24389999999998</x:v>
      </x:c>
      <x:c r="F90" s="56" t="n">
        <x:f>'Manicured Fingers'!B45</x:f>
        <x:v>94.24389999999998</x:v>
      </x:c>
      <x:c r="G90" s="56" t="n">
        <x:f>'Manicured Fingers'!B45</x:f>
        <x:v>94.24389999999998</x:v>
      </x:c>
      <x:c r="H90" s="56" t="n">
        <x:v>1</x:v>
      </x:c>
      <x:c r="I90" s="56" t="n">
        <x:f>E90</x:f>
        <x:v>94.24389999999998</x:v>
      </x:c>
      <x:c r="J90" s="56" t="n">
        <x:f>F90</x:f>
        <x:v>94.24389999999998</x:v>
      </x:c>
      <x:c r="K90" s="56" t="n">
        <x:f>G90</x:f>
        <x:v>94.24389999999998</x:v>
      </x:c>
      <x:c r="L90" t="str">
        <x:v>CANON OWNERSHIP: all 37 Manicured Fingers stakes accepted. Valuation/revenue inputs remain working survey estimates where noted.</x:v>
      </x:c>
      <x:c r="M90" t="str">
        <x:v>Mixed</x:v>
      </x:c>
      <x:c r="N90" t="str">
        <x:v>See Manicured Fingers source column</x:v>
      </x:c>
    </x:row>
  </x:sheetData>
  <x:conditionalFormatting sqref="M2:M39">
    <x:cfRule type="expression" dxfId="0" priority="1">
      <x:formula>LEFT(M2,3)="Low"</x:formula>
    </x:cfRule>
    <x:cfRule type="expression" dxfId="1" priority="2">
      <x:formula>M2="High"</x:formula>
    </x:cfRule>
  </x:conditionalFormatting>
  <x:pageMargins left="0.7" right="0.7" top="0.75" bottom="0.75" header="0.3" footer="0.3"/>
  <x:tableParts count="1">
    <x:tablePart xmlns:r="http://schemas.openxmlformats.org/officeDocument/2006/relationships" r:id="R4da8147e1bda413b"/>
  </x:tableParts>
</x:worksheet>
</file>

<file path=xl/worksheets/sheet2.xml><?xml version="1.0" encoding="utf-8"?>
<x:worksheet xmlns:x="http://schemas.openxmlformats.org/spreadsheetml/2006/main">
  <x:sheetFormatPr defaultRowHeight="15"/>
  <x:cols>
    <x:col min="1" max="1" width="34" hidden="0" customWidth="1"/>
    <x:col min="2" max="2" width="18" hidden="0" customWidth="1"/>
    <x:col min="3" max="3" width="22" hidden="0" customWidth="1"/>
    <x:col min="4" max="4" width="60" hidden="0" customWidth="1"/>
  </x:cols>
  <x:sheetData>
    <x:row r="1">
      <x:c r="A1" s="6" t="str">
        <x:v>Assumption</x:v>
      </x:c>
      <x:c r="B1" s="6" t="str">
        <x:v>Value</x:v>
      </x:c>
      <x:c r="C1" s="6" t="str">
        <x:v>Status</x:v>
      </x:c>
      <x:c r="D1" s="6" t="str">
        <x:v>Notes</x:v>
      </x:c>
    </x:row>
    <x:row r="2">
      <x:c r="A2" s="28" t="str">
        <x:v>Majority/control stake</x:v>
      </x:c>
      <x:c r="B2" s="28" t="n">
        <x:v>0.51</x:v>
      </x:c>
      <x:c r="C2" s="28" t="str">
        <x:v>From Jim source map</x:v>
      </x:c>
      <x:c r="D2" s="28" t="str">
        <x:v>Used for majority/control positions</x:v>
      </x:c>
    </x:row>
    <x:row r="3">
      <x:c r="A3" s="28" t="str">
        <x:v>Strong minority midpoint</x:v>
      </x:c>
      <x:c r="B3" s="28" t="n">
        <x:v>0.3</x:v>
      </x:c>
      <x:c r="C3" s="28" t="str">
        <x:v>Model assumption</x:v>
      </x:c>
      <x:c r="D3" s="28" t="str">
        <x:v>Midpoint of source-map 25%-35% range</x:v>
      </x:c>
    </x:row>
    <x:row r="4">
      <x:c r="A4" s="28" t="str">
        <x:v>Infrastructure working stake</x:v>
      </x:c>
      <x:c r="B4" s="28" t="n">
        <x:v>0.75</x:v>
      </x:c>
      <x:c r="C4" s="28" t="str">
        <x:v>Model assumption</x:v>
      </x:c>
      <x:c r="D4" s="28" t="str">
        <x:v>Used where source says 100% or absolute-majority but exact stake unresolved</x:v>
      </x:c>
    </x:row>
    <x:row r="5">
      <x:c r="A5" s="28" t="str">
        <x:v>Athena diversification portfolio ($B)</x:v>
      </x:c>
      <x:c r="B5" s="28" t="n">
        <x:v>400</x:v>
      </x:c>
      <x:c r="C5" s="28" t="str">
        <x:v>Canon in development</x:v>
      </x:c>
      <x:c r="D5" s="28" t="str">
        <x:v>Separate from Fashion Empire</x:v>
      </x:c>
    </x:row>
    <x:row r="6">
      <x:c r="A6" s="28" t="str">
        <x:v>Valuation date</x:v>
      </x:c>
      <x:c r="B6" s="28" t="str">
        <x:v>2026-09-10</x:v>
      </x:c>
      <x:c r="C6" s="28" t="str">
        <x:v>Current survey</x:v>
      </x:c>
      <x:c r="D6" s="28" t="str">
        <x:v>Public market values move</x:v>
      </x:c>
    </x:row>
    <x:row r="7">
      <x:c r="A7" s="28" t="str">
        <x:v>Currency</x:v>
      </x:c>
      <x:c r="B7" s="28" t="str">
        <x:v>USD billions</x:v>
      </x:c>
      <x:c r="C7" s="28" t="str">
        <x:v>Model convention</x:v>
      </x:c>
      <x:c r="D7" s="28" t="str">
        <x:v>Private foreign transaction anchors bracketed</x:v>
      </x:c>
    </x:row>
    <x:row r="8">
      <x:c r="A8" s="28" t="str">
        <x:v>Private low/mid/high</x:v>
      </x:c>
      <x:c r="B8" s="28" t="str">
        <x:v>Scenario range</x:v>
      </x:c>
      <x:c r="C8" s="28" t="str">
        <x:v>Hypothesis</x:v>
      </x:c>
      <x:c r="D8" s="28" t="str">
        <x:v>Not factual market caps</x:v>
      </x:c>
    </x:row>
    <x:row r="9">
      <x:c r="A9" s="28" t="str">
        <x:v>Top-100 source</x:v>
      </x:c>
      <x:c r="B9" s="28" t="str">
        <x:v>the fashion empire.docx</x:v>
      </x:c>
      <x:c r="C9" s="28" t="str">
        <x:v>Historical recovery source</x:v>
      </x:c>
      <x:c r="D9" s="28" t="str">
        <x:v>Roster + target ownership logic</x:v>
      </x:c>
    </x:row>
    <x:row r="10">
      <x:c r="A10" s="28" t="str">
        <x:v>Double-counting rule</x:v>
      </x:c>
      <x:c r="B10" s="28" t="str">
        <x:v>Parent once</x:v>
      </x:c>
      <x:c r="C10" s="28" t="str">
        <x:v>Hard model rule</x:v>
      </x:c>
      <x:c r="D10" s="28" t="str">
        <x:v>No child brands on top of valued parent</x:v>
      </x:c>
    </x:row>
  </x:sheetData>
  <x:pageMargins left="0.7" right="0.7" top="0.75" bottom="0.75" header="0.3" footer="0.3"/>
  <x:tableParts count="1">
    <x:tablePart xmlns:r="http://schemas.openxmlformats.org/officeDocument/2006/relationships" r:id="Re179b6a9cb574296"/>
  </x:tableParts>
</x:worksheet>
</file>

<file path=xl/worksheets/sheet3.xml><?xml version="1.0" encoding="utf-8"?>
<x:worksheet xmlns:x="http://schemas.openxmlformats.org/spreadsheetml/2006/main">
  <x:sheetFormatPr defaultRowHeight="15"/>
  <x:cols>
    <x:col min="1" max="1" width="38" hidden="0" customWidth="1"/>
    <x:col min="2" max="2" width="22" hidden="0" customWidth="1"/>
    <x:col min="3" max="3" width="18" hidden="0" customWidth="1"/>
    <x:col min="4" max="4" width="18" hidden="0" customWidth="1"/>
    <x:col min="5" max="5" width="18" hidden="0" customWidth="1"/>
    <x:col min="6" max="6" width="18" hidden="0" customWidth="1"/>
  </x:cols>
  <x:sheetData>
    <x:row r="1">
      <x:c r="A1" s="36" t="str">
        <x:v>FASHION EMPIRE VALUATION - WORKING SURVEY</x:v>
      </x:c>
      <x:c r="B1" s="36" t="str"/>
      <x:c r="C1" s="36" t="str"/>
      <x:c r="D1" s="36" t="str"/>
      <x:c r="E1" s="36" t="str"/>
      <x:c r="F1" s="36" t="str"/>
    </x:row>
    <x:row r="2">
      <x:c r="A2" s="28"/>
      <x:c r="B2" s="28"/>
      <x:c r="C2" s="28"/>
      <x:c r="D2" s="28"/>
      <x:c r="E2" s="28"/>
      <x:c r="F2" s="28"/>
    </x:row>
    <x:row r="3">
      <x:c r="A3" s="4" t="str">
        <x:v>Metric</x:v>
      </x:c>
      <x:c r="B3" s="4" t="str">
        <x:v>$B</x:v>
      </x:c>
      <x:c r="C3" s="28"/>
      <x:c r="D3" s="4" t="str">
        <x:v>Scenario</x:v>
      </x:c>
      <x:c r="E3" s="4" t="str">
        <x:v>Attributable value ($B)</x:v>
      </x:c>
      <x:c r="F3" s="28"/>
    </x:row>
    <x:row r="4">
      <x:c r="A4" s="28" t="str">
        <x:v>Low gross attributable value</x:v>
      </x:c>
      <x:c r="B4" s="37" t="n">
        <x:f>SUM('Valuation Grid'!I2:I90)</x:f>
        <x:v>455.66369999999966</x:v>
      </x:c>
      <x:c r="C4" s="28"/>
      <x:c r="D4" s="28" t="str">
        <x:v>Low</x:v>
      </x:c>
      <x:c r="E4" s="28" t="n">
        <x:f>B4</x:f>
        <x:v>455.66369999999966</x:v>
      </x:c>
      <x:c r="F4" s="28"/>
    </x:row>
    <x:row r="5">
      <x:c r="A5" s="28" t="str">
        <x:v>Mid gross attributable value</x:v>
      </x:c>
      <x:c r="B5" s="37" t="n">
        <x:f>SUM('Valuation Grid'!J2:J90)</x:f>
        <x:v>466.7186999999998</x:v>
      </x:c>
      <x:c r="C5" s="28"/>
      <x:c r="D5" s="28" t="str">
        <x:v>Mid</x:v>
      </x:c>
      <x:c r="E5" s="28" t="n">
        <x:f>B5</x:f>
        <x:v>466.7186999999998</x:v>
      </x:c>
      <x:c r="F5" s="28"/>
    </x:row>
    <x:row r="6">
      <x:c r="A6" s="28" t="str">
        <x:v>High gross attributable value</x:v>
      </x:c>
      <x:c r="B6" s="37" t="n">
        <x:f>SUM('Valuation Grid'!K2:K90)</x:f>
        <x:v>481.8986999999997</x:v>
      </x:c>
      <x:c r="C6" s="28"/>
      <x:c r="D6" s="28" t="str">
        <x:v>High</x:v>
      </x:c>
      <x:c r="E6" s="28" t="n">
        <x:f>B6</x:f>
        <x:v>481.8986999999997</x:v>
      </x:c>
      <x:c r="F6" s="28"/>
    </x:row>
    <x:row r="7">
      <x:c r="A7" s="28" t="str">
        <x:v>Athena Hat Fund remaining after Manicured Fingers</x:v>
      </x:c>
      <x:c r="B7" s="38" t="n">
        <x:f>400-'Manicured Fingers'!B46</x:f>
        <x:v>305.7561</x:v>
      </x:c>
      <x:c r="C7" s="28"/>
      <x:c r="D7" s="28"/>
      <x:c r="E7" s="28"/>
      <x:c r="F7" s="28"/>
    </x:row>
    <x:row r="8">
      <x:c r="A8" s="28" t="str">
        <x:v>Mid combined: Fashion Empire + remaining Hat Fund</x:v>
      </x:c>
      <x:c r="B8" s="38" t="n">
        <x:f>B5+B7</x:f>
        <x:v>772.4747999999997</x:v>
      </x:c>
      <x:c r="C8" s="28"/>
      <x:c r="D8" s="28"/>
      <x:c r="E8" s="28"/>
      <x:c r="F8" s="28"/>
    </x:row>
    <x:row r="9">
      <x:c r="A9" s="28" t="str">
        <x:v>Modeled entity/group stakes (incl. new targets)</x:v>
      </x:c>
      <x:c r="B9" s="38" t="n">
        <x:f>83+'Manicured Fingers'!B44</x:f>
        <x:v>120</x:v>
      </x:c>
      <x:c r="C9" s="28"/>
      <x:c r="D9" s="28"/>
      <x:c r="E9" s="28"/>
      <x:c r="F9" s="28"/>
    </x:row>
    <x:row r="10">
      <x:c r="A10" s="28" t="str">
        <x:v>New-pot daily attributable revenue ($M)</x:v>
      </x:c>
      <x:c r="B10" s="28" t="n">
        <x:f>'Manicured Fingers'!B49</x:f>
        <x:v>81.96575342465754</x:v>
      </x:c>
      <x:c r="C10" s="28"/>
      <x:c r="D10" s="28"/>
      <x:c r="E10" s="28"/>
      <x:c r="F10" s="28"/>
    </x:row>
    <x:row r="11">
      <x:c r="A11" s="4" t="str">
        <x:v>IMPORTANT AUDIT NOTES</x:v>
      </x:c>
      <x:c r="B11" s="4" t="str"/>
      <x:c r="C11" s="4" t="str"/>
      <x:c r="D11" s="4" t="str"/>
      <x:c r="E11" s="4" t="str"/>
      <x:c r="F11" s="4" t="str"/>
    </x:row>
    <x:row r="12">
      <x:c r="A12" s="61" t="str">
        <x:v>CANON OWNERSHIP UPDATE — MANICURED FINGERS</x:v>
      </x:c>
      <x:c r="B12" s="61" t="str">
        <x:v>Survey grid, not canon lock. Public rows are current data; private rows are explicit hypotheses.</x:v>
      </x:c>
      <x:c r="C12" s="61" t="str"/>
      <x:c r="D12" s="61" t="str"/>
      <x:c r="E12" s="61" t="str"/>
      <x:c r="F12" s="61" t="str"/>
    </x:row>
    <x:row r="13">
      <x:c r="A13" s="28" t="str">
        <x:v>9</x:v>
      </x:c>
      <x:c r="B13" s="28" t="str">
        <x:v>All 37 Manicured Fingers acquisitions/stakes are accepted as CANON ownership.</x:v>
      </x:c>
      <x:c r="C13" s="28" t="str"/>
      <x:c r="D13" s="28" t="str"/>
      <x:c r="E13" s="28" t="str"/>
      <x:c r="F13" s="28" t="str"/>
    </x:row>
    <x:row r="14">
      <x:c r="A14" s="28" t="str">
        <x:v>10</x:v>
      </x:c>
      <x:c r="B14" s="28" t="str">
        <x:v>Ownership is locked; valuation and revenue figures remain working survey inputs where the source column says hypothesis.</x:v>
      </x:c>
      <x:c r="C14" s="28" t="str"/>
      <x:c r="D14" s="28" t="str"/>
      <x:c r="E14" s="28" t="str"/>
      <x:c r="F14" s="28" t="str"/>
    </x:row>
    <x:row r="15">
      <x:c r="A15" s="28" t="str">
        <x:v>11</x:v>
      </x:c>
      <x:c r="B15" s="28" t="str">
        <x:v>The Hat Fund depletion and remaining balance reflect those accepted stakes at the modeled acquisition values.</x:v>
      </x:c>
      <x:c r="C15" s="28" t="str"/>
      <x:c r="D15" s="28" t="str"/>
      <x:c r="E15" s="28" t="str"/>
      <x:c r="F15" s="28" t="str"/>
    </x:row>
    <x:row r="16">
      <x:c r="A16" s="28" t="str">
        <x:v>5</x:v>
      </x:c>
      <x:c r="B16" s="28" t="str">
        <x:v>Metis, Techne, personal/family assets, Artemis growth and later Patronage appreciation are excluded.</x:v>
      </x:c>
      <x:c r="C16" s="28" t="str"/>
      <x:c r="D16" s="28" t="str"/>
      <x:c r="E16" s="28" t="str"/>
      <x:c r="F16" s="28" t="str"/>
    </x:row>
    <x:row r="17">
      <x:c r="A17" t="str">
        <x:v>UPDATED FROM FINAL-USE SOURCE</x:v>
      </x:c>
      <x:c r="B17" t="str"/>
      <x:c r="C17" t="str"/>
      <x:c r="D17" t="str"/>
      <x:c r="E17" t="str"/>
      <x:c r="F17" t="str"/>
    </x:row>
    <x:row r="18">
      <x:c r="A18" t="str">
        <x:v>6</x:v>
      </x:c>
      <x:c r="B18" t="str">
        <x:v>Added explicit OTB, missing independent houses, the full hospitality/spa portfolio, and explicit Bleckmann/Crown/Como rows.</x:v>
      </x:c>
      <x:c r="C18" t="str"/>
      <x:c r="D18" t="str"/>
      <x:c r="E18" t="str"/>
      <x:c r="F18" t="str"/>
    </x:row>
    <x:row r="19">
      <x:c r="A19" t="str">
        <x:v>7</x:v>
      </x:c>
      <x:c r="B19" t="str">
        <x:v>Old aggregate baskets remain visible for archaeology but have 0% stake so they do not double count.</x:v>
      </x:c>
      <x:c r="C19" t="str"/>
      <x:c r="D19" t="str"/>
      <x:c r="E19" t="str"/>
      <x:c r="F19" t="str"/>
    </x:row>
    <x:row r="20">
      <x:c r="A20" t="str">
        <x:v>8</x:v>
      </x:c>
      <x:c r="B20" t="str">
        <x:v>Loro Piana is preserved as a source row but excluded from the total because LVMH is already counted.</x:v>
      </x:c>
      <x:c r="C20" t="str"/>
      <x:c r="D20" t="str"/>
      <x:c r="E20" t="str"/>
      <x:c r="F20" t="str"/>
    </x:row>
  </x:sheetData>
  <x:mergeCells>
    <x:mergeCell ref="A1:F1"/>
    <x:mergeCell ref="A11:F11"/>
    <x:mergeCell ref="B12:F12"/>
    <x:mergeCell ref="B13:F13"/>
    <x:mergeCell ref="B14:F14"/>
    <x:mergeCell ref="B15:F15"/>
    <x:mergeCell ref="B16:F16"/>
    <x:mergeCell ref="A17:F17"/>
    <x:mergeCell ref="B18:F18"/>
    <x:mergeCell ref="B19:F19"/>
    <x:mergeCell ref="B20:F20"/>
    <x:mergeCell ref="A12:F12"/>
  </x:mergeCells>
  <x:pageMargins left="0.7" right="0.7" top="0.75" bottom="0.75" header="0.3" footer="0.3"/>
  <x:drawing xmlns:r="http://schemas.openxmlformats.org/officeDocument/2006/relationships" r:id="R42b70d9975234e61"/>
</x:worksheet>
</file>

<file path=xl/worksheets/sheet4.xml><?xml version="1.0" encoding="utf-8"?>
<x:worksheet xmlns:x="http://schemas.openxmlformats.org/spreadsheetml/2006/main">
  <x:sheetFormatPr defaultRowHeight="15"/>
  <x:cols>
    <x:col min="1" max="1" width="22" hidden="0" customWidth="1"/>
    <x:col min="2" max="2" width="34" hidden="0" customWidth="1"/>
    <x:col min="3" max="3" width="18" hidden="0" customWidth="1"/>
    <x:col min="4" max="4" width="14" hidden="0" customWidth="1"/>
    <x:col min="5" max="5" width="11" hidden="0" customWidth="1"/>
    <x:col min="6" max="6" width="16" hidden="0" customWidth="1"/>
    <x:col min="7" max="7" width="15" hidden="0" customWidth="1"/>
    <x:col min="8" max="8" width="18" hidden="0" customWidth="1"/>
    <x:col min="9" max="9" width="18" hidden="0" customWidth="1"/>
    <x:col min="10" max="10" width="15" hidden="0" customWidth="1"/>
    <x:col min="11" max="11" width="28" hidden="0" customWidth="1"/>
    <x:col min="12" max="12" width="12" hidden="0" customWidth="1"/>
    <x:col min="13" max="13" width="34" hidden="0" customWidth="1"/>
    <x:col min="14" max="14" width="32" hidden="0" customWidth="1"/>
  </x:cols>
  <x:sheetData>
    <x:row r="1">
      <x:c r="A1" s="51" t="str">
        <x:v>MANICURED FINGERS ACQUISITION PROGRAM — lingerie first, beauty artillery when required</x:v>
      </x:c>
      <x:c r="B1" s="51"/>
      <x:c r="C1" s="51"/>
      <x:c r="D1" s="51"/>
      <x:c r="E1" s="51"/>
      <x:c r="F1" s="51"/>
      <x:c r="G1" s="51"/>
      <x:c r="H1" s="51"/>
      <x:c r="I1" s="51"/>
      <x:c r="J1" s="51"/>
      <x:c r="K1" s="51"/>
      <x:c r="L1" s="51"/>
      <x:c r="M1" s="51"/>
      <x:c r="N1" s="51"/>
    </x:row>
    <x:row r="2">
      <x:c r="A2" s="59" t="str">
        <x:v>CANON — ACQUISITIONS ACCEPTED: Jim owns the modeled stakes below. Fiction-author magic has closed the deals.</x:v>
      </x:c>
      <x:c r="B2" s="59"/>
      <x:c r="C2" s="59"/>
      <x:c r="D2" s="59"/>
      <x:c r="E2" s="59"/>
      <x:c r="F2" s="59"/>
      <x:c r="G2" s="59"/>
      <x:c r="H2" s="59"/>
      <x:c r="I2" s="59"/>
      <x:c r="J2" s="59"/>
      <x:c r="K2" s="59"/>
      <x:c r="L2" s="59"/>
      <x:c r="M2" s="59"/>
      <x:c r="N2" s="59"/>
    </x:row>
    <x:row r="3">
      <x:c r="A3" s="53" t="str">
        <x:v>Target / Group</x:v>
      </x:c>
      <x:c r="B3" s="53" t="str">
        <x:v>Brands / reason</x:v>
      </x:c>
      <x:c r="C3" s="53" t="str">
        <x:v>Pot</x:v>
      </x:c>
      <x:c r="D3" s="53" t="str">
        <x:v>Valuation / EV ($B)</x:v>
      </x:c>
      <x:c r="E3" s="53" t="str">
        <x:v>Jim stake %</x:v>
      </x:c>
      <x:c r="F3" s="53" t="str">
        <x:v>Attributable value ($B)</x:v>
      </x:c>
      <x:c r="G3" s="53" t="str">
        <x:v>Annual revenue ($B)</x:v>
      </x:c>
      <x:c r="H3" s="53" t="str">
        <x:v>Jim-attributable revenue ($B)</x:v>
      </x:c>
      <x:c r="I3" s="53" t="str">
        <x:v>Daily attributable revenue ($M)</x:v>
      </x:c>
      <x:c r="J3" s="53" t="str">
        <x:v>Hat Fund used ($B)</x:v>
      </x:c>
      <x:c r="K3" s="53" t="str">
        <x:v>Basis</x:v>
      </x:c>
      <x:c r="L3" s="53" t="str">
        <x:v>Status</x:v>
      </x:c>
      <x:c r="M3" s="53" t="str">
        <x:v>Source</x:v>
      </x:c>
      <x:c r="N3" s="53" t="str">
        <x:v>Notes</x:v>
      </x:c>
    </x:row>
    <x:row r="4">
      <x:c r="A4" s="28" t="str">
        <x:v>Victoria's Secret &amp; Co.</x:v>
      </x:c>
      <x:c r="B4" s="28" t="str">
        <x:v>Victoria's Secret, PINK, Adore Me</x:v>
      </x:c>
      <x:c r="C4" s="28" t="str">
        <x:v>Lingerie</x:v>
      </x:c>
      <x:c r="D4" s="47" t="n">
        <x:v>6.03</x:v>
      </x:c>
      <x:c r="E4" s="30" t="n">
        <x:v>0.51</x:v>
      </x:c>
      <x:c r="F4" s="48" t="n">
        <x:f>D4*E4</x:f>
        <x:v>3.0753000000000004</x:v>
      </x:c>
      <x:c r="G4" s="47" t="n">
        <x:v>6.76</x:v>
      </x:c>
      <x:c r="H4" s="48" t="n">
        <x:f>G4*E4</x:f>
        <x:v>3.4476</x:v>
      </x:c>
      <x:c r="I4" s="48" t="n">
        <x:f>H4*1000/365</x:f>
        <x:v>9.445479452054794</x:v>
      </x:c>
      <x:c r="J4" s="48" t="n">
        <x:f>F4</x:f>
        <x:v>3.0753000000000004</x:v>
      </x:c>
      <x:c r="K4" s="28" t="str">
        <x:v>Public Sep-2026 market cap / TTM revenue</x:v>
      </x:c>
      <x:c r="L4" s="28" t="str">
        <x:v>OWNED — CANON</x:v>
      </x:c>
      <x:c r="M4" s="28" t="str">
        <x:v>https://companiesmarketcap.com/victorias-secret-co/marketcap/</x:v>
      </x:c>
      <x:c r="N4" s="28" t="str">
        <x:v>Control position</x:v>
      </x:c>
    </x:row>
    <x:row r="5">
      <x:c r="A5" s="28" t="str">
        <x:v>SKIMS</x:v>
      </x:c>
      <x:c r="B5" s="28" t="str">
        <x:v>SKIMS; shapewear, intimates, apparel</x:v>
      </x:c>
      <x:c r="C5" s="28" t="str">
        <x:v>Lingerie</x:v>
      </x:c>
      <x:c r="D5" s="47" t="n">
        <x:v>5</x:v>
      </x:c>
      <x:c r="E5" s="30" t="n">
        <x:v>0.3</x:v>
      </x:c>
      <x:c r="F5" s="48" t="n">
        <x:f>D5*E5</x:f>
        <x:v>1.5</x:v>
      </x:c>
      <x:c r="G5" s="47" t="n">
        <x:v>1</x:v>
      </x:c>
      <x:c r="H5" s="48" t="n">
        <x:f>G5*E5</x:f>
        <x:v>0.3</x:v>
      </x:c>
      <x:c r="I5" s="48" t="n">
        <x:f>H5*1000/365</x:f>
        <x:v>0.821917808219178</x:v>
      </x:c>
      <x:c r="J5" s="48" t="n">
        <x:f>F5</x:f>
        <x:v>1.5</x:v>
      </x:c>
      <x:c r="K5" s="28" t="str">
        <x:v>2025 funding valuation / expected 2025 net sales</x:v>
      </x:c>
      <x:c r="L5" s="28" t="str">
        <x:v>OWNED — CANON</x:v>
      </x:c>
      <x:c r="M5" s="28" t="str">
        <x:v>https://www.forbes.com/sites/chasewithorn/2025/11/12/kim-kardashian-is-richer-than-ever-after-new-skims-funding/</x:v>
      </x:c>
      <x:c r="N5" s="28" t="str">
        <x:v>Strategic block; do not erase founders</x:v>
      </x:c>
    </x:row>
    <x:row r="6">
      <x:c r="A6" s="28" t="str">
        <x:v>Oniverse</x:v>
      </x:c>
      <x:c r="B6" s="28" t="str">
        <x:v>Intimissimi, Calzedonia, Tezenis, Atelier Emé + group</x:v>
      </x:c>
      <x:c r="C6" s="28" t="str">
        <x:v>Lingerie platform</x:v>
      </x:c>
      <x:c r="D6" s="47" t="n">
        <x:v>8</x:v>
      </x:c>
      <x:c r="E6" s="30" t="n">
        <x:v>0.3</x:v>
      </x:c>
      <x:c r="F6" s="48" t="n">
        <x:f>D6*E6</x:f>
        <x:v>2.4</x:v>
      </x:c>
      <x:c r="G6" s="47" t="n">
        <x:v>4.35</x:v>
      </x:c>
      <x:c r="H6" s="48" t="n">
        <x:f>G6*E6</x:f>
        <x:v>1.305</x:v>
      </x:c>
      <x:c r="I6" s="48" t="n">
        <x:f>H6*1000/365</x:f>
        <x:v>3.5753424657534247</x:v>
      </x:c>
      <x:c r="J6" s="48" t="n">
        <x:f>F6</x:f>
        <x:v>2.4</x:v>
      </x:c>
      <x:c r="K6" s="28" t="str">
        <x:v>Private hypothesis; revenue anchored to €3.7B 2025</x:v>
      </x:c>
      <x:c r="L6" s="28" t="str">
        <x:v>OWNED — CANON</x:v>
      </x:c>
      <x:c r="M6" s="28" t="str">
        <x:v>https://www.ansa.it/sito/notizie/economia/2026/02/16/il-fatturato-del-gruppo-oniverse-calzedonia-oltre-37-miliardi-nel-2025_ef85c9e7-3d90-45b6-990d-9c03c864323e.html</x:v>
      </x:c>
      <x:c r="N6" s="28" t="str">
        <x:v>Valuation is explicit fiction-model hypothesis; revenue converted/rounded to USD working value</x:v>
      </x:c>
    </x:row>
    <x:row r="7">
      <x:c r="A7" s="28" t="str">
        <x:v>Gildan / Hanes innerwear</x:v>
      </x:c>
      <x:c r="B7" s="28" t="str">
        <x:v>Bali, Maidenform, Playtex, Bras N Things, Berlei, Wonderbra + manufacturing</x:v>
      </x:c>
      <x:c r="C7" s="28" t="str">
        <x:v>Mass innerwear</x:v>
      </x:c>
      <x:c r="D7" s="47" t="n">
        <x:v>9.34</x:v>
      </x:c>
      <x:c r="E7" s="30" t="n">
        <x:v>0.3</x:v>
      </x:c>
      <x:c r="F7" s="48" t="n">
        <x:f>D7*E7</x:f>
        <x:v>2.802</x:v>
      </x:c>
      <x:c r="G7" s="47" t="n">
        <x:v>4.07</x:v>
      </x:c>
      <x:c r="H7" s="48" t="n">
        <x:f>G7*E7</x:f>
        <x:v>1.221</x:v>
      </x:c>
      <x:c r="I7" s="48" t="n">
        <x:f>H7*1000/365</x:f>
        <x:v>3.345205479452055</x:v>
      </x:c>
      <x:c r="J7" s="48" t="n">
        <x:f>F7</x:f>
        <x:v>2.802</x:v>
      </x:c>
      <x:c r="K7" s="28" t="str">
        <x:v>Public Sep-2026 market cap / TTM revenue</x:v>
      </x:c>
      <x:c r="L7" s="28" t="str">
        <x:v>OWNED — CANON</x:v>
      </x:c>
      <x:c r="M7" s="28" t="str">
        <x:v>https://companiesmarketcap.com/gildan/marketcap/</x:v>
      </x:c>
      <x:c r="N7" s="28" t="str">
        <x:v>Count parent once</x:v>
      </x:c>
    </x:row>
    <x:row r="8">
      <x:c r="A8" s="28" t="str">
        <x:v>Wacoal Holdings</x:v>
      </x:c>
      <x:c r="B8" s="28" t="str">
        <x:v>Wacoal and intimate apparel portfolio</x:v>
      </x:c>
      <x:c r="C8" s="28" t="str">
        <x:v>Lingerie</x:v>
      </x:c>
      <x:c r="D8" s="47" t="n">
        <x:v>1.28</x:v>
      </x:c>
      <x:c r="E8" s="30" t="n">
        <x:v>0.3</x:v>
      </x:c>
      <x:c r="F8" s="48" t="n">
        <x:f>D8*E8</x:f>
        <x:v>0.384</x:v>
      </x:c>
      <x:c r="G8" s="47" t="n">
        <x:v>1.4</x:v>
      </x:c>
      <x:c r="H8" s="48" t="n">
        <x:f>G8*E8</x:f>
        <x:v>0.42</x:v>
      </x:c>
      <x:c r="I8" s="48" t="n">
        <x:f>H8*1000/365</x:f>
        <x:v>1.1506849315068493</x:v>
      </x:c>
      <x:c r="J8" s="48" t="n">
        <x:f>F8</x:f>
        <x:v>0.384</x:v>
      </x:c>
      <x:c r="K8" s="28" t="str">
        <x:v>Public Sep-2026 market cap; revenue working hypothesis</x:v>
      </x:c>
      <x:c r="L8" s="28" t="str">
        <x:v>OWNED — CANON</x:v>
      </x:c>
      <x:c r="M8" s="28" t="str">
        <x:v>https://companiesmarketcap.com/wacoal-holdings/marketcap/</x:v>
      </x:c>
      <x:c r="N8" s="28" t="str">
        <x:v>Revenue to refresh before canon lock</x:v>
      </x:c>
    </x:row>
    <x:row r="9">
      <x:c r="A9" s="28" t="str">
        <x:v>American Eagle Outfitters</x:v>
      </x:c>
      <x:c r="B9" s="28" t="str">
        <x:v>Aerie / OFFLINE plus AEO parent</x:v>
      </x:c>
      <x:c r="C9" s="28" t="str">
        <x:v>Lingerie / lifestyle</x:v>
      </x:c>
      <x:c r="D9" s="47" t="n">
        <x:v>2.83</x:v>
      </x:c>
      <x:c r="E9" s="30" t="n">
        <x:v>0.3</x:v>
      </x:c>
      <x:c r="F9" s="48" t="n">
        <x:f>D9*E9</x:f>
        <x:v>0.849</x:v>
      </x:c>
      <x:c r="G9" s="47" t="n">
        <x:v>5.65</x:v>
      </x:c>
      <x:c r="H9" s="48" t="n">
        <x:f>G9*E9</x:f>
        <x:v>1.695</x:v>
      </x:c>
      <x:c r="I9" s="48" t="n">
        <x:f>H9*1000/365</x:f>
        <x:v>4.6438356164383565</x:v>
      </x:c>
      <x:c r="J9" s="48" t="n">
        <x:f>F9</x:f>
        <x:v>0.849</x:v>
      </x:c>
      <x:c r="K9" s="28" t="str">
        <x:v>Public Sep-2026 market cap / TTM parent revenue</x:v>
      </x:c>
      <x:c r="L9" s="28" t="str">
        <x:v>OWNED — CANON</x:v>
      </x:c>
      <x:c r="M9" s="28" t="str">
        <x:v>https://companiesmarketcap.com/american-eagle-outfitters/marketcap/</x:v>
      </x:c>
      <x:c r="N9" s="28" t="str">
        <x:v>Revenue is whole parent, not Aerie-only</x:v>
      </x:c>
    </x:row>
    <x:row r="10">
      <x:c r="A10" s="28" t="str">
        <x:v>Spanx</x:v>
      </x:c>
      <x:c r="B10" s="28" t="str">
        <x:v>Spanx</x:v>
      </x:c>
      <x:c r="C10" s="28" t="str">
        <x:v>Shapewear</x:v>
      </x:c>
      <x:c r="D10" s="47" t="n">
        <x:v>1.2</x:v>
      </x:c>
      <x:c r="E10" s="30" t="n">
        <x:v>0.3</x:v>
      </x:c>
      <x:c r="F10" s="48" t="n">
        <x:f>D10*E10</x:f>
        <x:v>0.36</x:v>
      </x:c>
      <x:c r="G10" s="47" t="n">
        <x:v>0.5</x:v>
      </x:c>
      <x:c r="H10" s="48" t="n">
        <x:f>G10*E10</x:f>
        <x:v>0.15</x:v>
      </x:c>
      <x:c r="I10" s="48" t="n">
        <x:f>H10*1000/365</x:f>
        <x:v>0.410958904109589</x:v>
      </x:c>
      <x:c r="J10" s="48" t="n">
        <x:f>F10</x:f>
        <x:v>0.36</x:v>
      </x:c>
      <x:c r="K10" s="28" t="str">
        <x:v>2021 Blackstone valuation; revenue hypothesis</x:v>
      </x:c>
      <x:c r="L10" s="28" t="str">
        <x:v>OWNED — CANON</x:v>
      </x:c>
      <x:c r="M10" s="28" t="str">
        <x:v>https://www.forbes.com/profile/sara-blakely/</x:v>
      </x:c>
      <x:c r="N10" s="28" t="str">
        <x:v>Preserve Sara Blakely agency</x:v>
      </x:c>
    </x:row>
    <x:row r="11">
      <x:c r="A11" s="28" t="str">
        <x:v>Triumph International</x:v>
      </x:c>
      <x:c r="B11" s="28" t="str">
        <x:v>Triumph, sloggi</x:v>
      </x:c>
      <x:c r="C11" s="28" t="str">
        <x:v>Lingerie</x:v>
      </x:c>
      <x:c r="D11" s="47" t="n">
        <x:v>2.5</x:v>
      </x:c>
      <x:c r="E11" s="30" t="n">
        <x:v>0.3</x:v>
      </x:c>
      <x:c r="F11" s="48" t="n">
        <x:f>D11*E11</x:f>
        <x:v>0.75</x:v>
      </x:c>
      <x:c r="G11" s="47" t="n">
        <x:v>1.5</x:v>
      </x:c>
      <x:c r="H11" s="48" t="n">
        <x:f>G11*E11</x:f>
        <x:v>0.44999999999999996</x:v>
      </x:c>
      <x:c r="I11" s="48" t="n">
        <x:f>H11*1000/365</x:f>
        <x:v>1.232876712328767</x:v>
      </x:c>
      <x:c r="J11" s="48" t="n">
        <x:f>F11</x:f>
        <x:v>0.75</x:v>
      </x:c>
      <x:c r="K11" s="28" t="str">
        <x:v>Private model hypothesis</x:v>
      </x:c>
      <x:c r="L11" s="28" t="str">
        <x:v>OWNED — CANON</x:v>
      </x:c>
      <x:c r="M11" s="28" t="str">
        <x:v>https://find-and-update.company-information.service.gov.uk/company/00536483</x:v>
      </x:c>
      <x:c r="N11" s="28" t="str">
        <x:v>Active private company; valuation/revenue hypotheses</x:v>
      </x:c>
    </x:row>
    <x:row r="12">
      <x:c r="A12" s="28" t="str">
        <x:v>La Perla</x:v>
      </x:c>
      <x:c r="B12" s="28" t="str">
        <x:v>La Perla brand/IP/atelier via distressed shells as available</x:v>
      </x:c>
      <x:c r="C12" s="28" t="str">
        <x:v>Jewelry-box lingerie</x:v>
      </x:c>
      <x:c r="D12" s="47" t="n">
        <x:v>0.5</x:v>
      </x:c>
      <x:c r="E12" s="30" t="n">
        <x:v>1</x:v>
      </x:c>
      <x:c r="F12" s="48" t="n">
        <x:f>D12*E12</x:f>
        <x:v>0.5</x:v>
      </x:c>
      <x:c r="G12" s="47" t="n">
        <x:v>0.15</x:v>
      </x:c>
      <x:c r="H12" s="48" t="n">
        <x:f>G12*E12</x:f>
        <x:v>0.15</x:v>
      </x:c>
      <x:c r="I12" s="48" t="n">
        <x:f>H12*1000/365</x:f>
        <x:v>0.410958904109589</x:v>
      </x:c>
      <x:c r="J12" s="48" t="n">
        <x:f>F12</x:f>
        <x:v>0.5</x:v>
      </x:c>
      <x:c r="K12" s="28" t="str">
        <x:v>Distressed luxury-brand hypothesis</x:v>
      </x:c>
      <x:c r="L12" s="28" t="str">
        <x:v>OWNED — CANON</x:v>
      </x:c>
      <x:c r="M12" s="28" t="str"/>
      <x:c r="N12" s="28" t="str">
        <x:v>Acquire brand/IP/operating shells as available; not pretending one clean share purchase</x:v>
      </x:c>
    </x:row>
    <x:row r="13">
      <x:c r="A13" s="28" t="str">
        <x:v>Agent Provocateur</x:v>
      </x:c>
      <x:c r="B13" s="28" t="str">
        <x:v>Agent Provocateur</x:v>
      </x:c>
      <x:c r="C13" s="28" t="str">
        <x:v>Jewelry-box lingerie</x:v>
      </x:c>
      <x:c r="D13" s="47" t="n">
        <x:v>0.25</x:v>
      </x:c>
      <x:c r="E13" s="30" t="n">
        <x:v>1</x:v>
      </x:c>
      <x:c r="F13" s="48" t="n">
        <x:f>D13*E13</x:f>
        <x:v>0.25</x:v>
      </x:c>
      <x:c r="G13" s="47" t="n">
        <x:v>0.08</x:v>
      </x:c>
      <x:c r="H13" s="48" t="n">
        <x:f>G13*E13</x:f>
        <x:v>0.08</x:v>
      </x:c>
      <x:c r="I13" s="48" t="n">
        <x:f>H13*1000/365</x:f>
        <x:v>0.2191780821917808</x:v>
      </x:c>
      <x:c r="J13" s="48" t="n">
        <x:f>F13</x:f>
        <x:v>0.25</x:v>
      </x:c>
      <x:c r="K13" s="28" t="str">
        <x:v>Private hypothesis; e-commerce evidence</x:v>
      </x:c>
      <x:c r="L13" s="28" t="str">
        <x:v>OWNED — CANON</x:v>
      </x:c>
      <x:c r="M13" s="28" t="str">
        <x:v>https://gripsintelligence.com/insights/retailers/agentprovocateur.com</x:v>
      </x:c>
      <x:c r="N13" s="28" t="str">
        <x:v>Luxury rescue/control</x:v>
      </x:c>
    </x:row>
    <x:row r="14">
      <x:c r="A14" s="28" t="str">
        <x:v>Fleur du Mal</x:v>
      </x:c>
      <x:c r="B14" s="28" t="str">
        <x:v>Fleur du Mal</x:v>
      </x:c>
      <x:c r="C14" s="28" t="str">
        <x:v>Jewelry-box lingerie</x:v>
      </x:c>
      <x:c r="D14" s="47" t="n">
        <x:v>0.1</x:v>
      </x:c>
      <x:c r="E14" s="30" t="n">
        <x:v>1</x:v>
      </x:c>
      <x:c r="F14" s="48" t="n">
        <x:f>D14*E14</x:f>
        <x:v>0.1</x:v>
      </x:c>
      <x:c r="G14" s="47" t="n">
        <x:v>0.032</x:v>
      </x:c>
      <x:c r="H14" s="48" t="n">
        <x:f>G14*E14</x:f>
        <x:v>0.032</x:v>
      </x:c>
      <x:c r="I14" s="48" t="n">
        <x:f>H14*1000/365</x:f>
        <x:v>0.08767123287671233</x:v>
      </x:c>
      <x:c r="J14" s="48" t="n">
        <x:f>F14</x:f>
        <x:v>0.1</x:v>
      </x:c>
      <x:c r="K14" s="28" t="str">
        <x:v>Private hypothesis; e-commerce estimate</x:v>
      </x:c>
      <x:c r="L14" s="28" t="str">
        <x:v>OWNED — CANON</x:v>
      </x:c>
      <x:c r="M14" s="28" t="str">
        <x:v>https://www.particl.com/company/fleur-du-mal</x:v>
      </x:c>
      <x:c r="N14" s="28" t="str">
        <x:v>Mandatory because the name is perfect</x:v>
      </x:c>
    </x:row>
    <x:row r="15">
      <x:c r="A15" s="28" t="str">
        <x:v>Bordelle</x:v>
      </x:c>
      <x:c r="B15" s="28" t="str">
        <x:v>Bordelle</x:v>
      </x:c>
      <x:c r="C15" s="28" t="str">
        <x:v>Jewelry-box lingerie</x:v>
      </x:c>
      <x:c r="D15" s="47" t="n">
        <x:v>0.08</x:v>
      </x:c>
      <x:c r="E15" s="30" t="n">
        <x:v>1</x:v>
      </x:c>
      <x:c r="F15" s="48" t="n">
        <x:f>D15*E15</x:f>
        <x:v>0.08</x:v>
      </x:c>
      <x:c r="G15" s="47" t="n">
        <x:v>0.025</x:v>
      </x:c>
      <x:c r="H15" s="48" t="n">
        <x:f>G15*E15</x:f>
        <x:v>0.025</x:v>
      </x:c>
      <x:c r="I15" s="48" t="n">
        <x:f>H15*1000/365</x:f>
        <x:v>0.0684931506849315</x:v>
      </x:c>
      <x:c r="J15" s="48" t="n">
        <x:f>F15</x:f>
        <x:v>0.08</x:v>
      </x:c>
      <x:c r="K15" s="28" t="str">
        <x:v>Private model hypothesis</x:v>
      </x:c>
      <x:c r="L15" s="28" t="str">
        <x:v>OWNED — CANON</x:v>
      </x:c>
      <x:c r="M15" s="28" t="str"/>
      <x:c r="N15" s="28" t="str">
        <x:v>Luxury atelier hypothesis</x:v>
      </x:c>
    </x:row>
    <x:row r="16">
      <x:c r="A16" s="28" t="str">
        <x:v>Carine Gilson</x:v>
      </x:c>
      <x:c r="B16" s="28" t="str">
        <x:v>Carine Gilson</x:v>
      </x:c>
      <x:c r="C16" s="28" t="str">
        <x:v>Jewelry-box lingerie</x:v>
      </x:c>
      <x:c r="D16" s="47" t="n">
        <x:v>0.06</x:v>
      </x:c>
      <x:c r="E16" s="30" t="n">
        <x:v>1</x:v>
      </x:c>
      <x:c r="F16" s="48" t="n">
        <x:f>D16*E16</x:f>
        <x:v>0.06</x:v>
      </x:c>
      <x:c r="G16" s="47" t="n">
        <x:v>0.018</x:v>
      </x:c>
      <x:c r="H16" s="48" t="n">
        <x:f>G16*E16</x:f>
        <x:v>0.018</x:v>
      </x:c>
      <x:c r="I16" s="48" t="n">
        <x:f>H16*1000/365</x:f>
        <x:v>0.049315068493150684</x:v>
      </x:c>
      <x:c r="J16" s="48" t="n">
        <x:f>F16</x:f>
        <x:v>0.06</x:v>
      </x:c>
      <x:c r="K16" s="28" t="str">
        <x:v>Private model hypothesis</x:v>
      </x:c>
      <x:c r="L16" s="28" t="str">
        <x:v>OWNED — CANON</x:v>
      </x:c>
      <x:c r="M16" s="28" t="str"/>
      <x:c r="N16" s="28" t="str">
        <x:v>Luxury atelier hypothesis</x:v>
      </x:c>
    </x:row>
    <x:row r="17">
      <x:c r="A17" s="28" t="str">
        <x:v>I.D. Sarrieri</x:v>
      </x:c>
      <x:c r="B17" s="28" t="str">
        <x:v>I.D. Sarrieri</x:v>
      </x:c>
      <x:c r="C17" s="28" t="str">
        <x:v>Jewelry-box lingerie</x:v>
      </x:c>
      <x:c r="D17" s="47" t="n">
        <x:v>0.06</x:v>
      </x:c>
      <x:c r="E17" s="30" t="n">
        <x:v>1</x:v>
      </x:c>
      <x:c r="F17" s="48" t="n">
        <x:f>D17*E17</x:f>
        <x:v>0.06</x:v>
      </x:c>
      <x:c r="G17" s="47" t="n">
        <x:v>0.02</x:v>
      </x:c>
      <x:c r="H17" s="48" t="n">
        <x:f>G17*E17</x:f>
        <x:v>0.02</x:v>
      </x:c>
      <x:c r="I17" s="48" t="n">
        <x:f>H17*1000/365</x:f>
        <x:v>0.0547945205479452</x:v>
      </x:c>
      <x:c r="J17" s="48" t="n">
        <x:f>F17</x:f>
        <x:v>0.06</x:v>
      </x:c>
      <x:c r="K17" s="28" t="str">
        <x:v>Private model hypothesis</x:v>
      </x:c>
      <x:c r="L17" s="28" t="str">
        <x:v>OWNED — CANON</x:v>
      </x:c>
      <x:c r="M17" s="28" t="str"/>
      <x:c r="N17" s="28" t="str">
        <x:v>Luxury atelier hypothesis</x:v>
      </x:c>
    </x:row>
    <x:row r="18">
      <x:c r="A18" s="28" t="str">
        <x:v>Kiki de Montparnasse</x:v>
      </x:c>
      <x:c r="B18" s="28" t="str">
        <x:v>Kiki de Montparnasse</x:v>
      </x:c>
      <x:c r="C18" s="28" t="str">
        <x:v>Jewelry-box lingerie</x:v>
      </x:c>
      <x:c r="D18" s="47" t="n">
        <x:v>0.08</x:v>
      </x:c>
      <x:c r="E18" s="30" t="n">
        <x:v>1</x:v>
      </x:c>
      <x:c r="F18" s="48" t="n">
        <x:f>D18*E18</x:f>
        <x:v>0.08</x:v>
      </x:c>
      <x:c r="G18" s="47" t="n">
        <x:v>0.025</x:v>
      </x:c>
      <x:c r="H18" s="48" t="n">
        <x:f>G18*E18</x:f>
        <x:v>0.025</x:v>
      </x:c>
      <x:c r="I18" s="48" t="n">
        <x:f>H18*1000/365</x:f>
        <x:v>0.0684931506849315</x:v>
      </x:c>
      <x:c r="J18" s="48" t="n">
        <x:f>F18</x:f>
        <x:v>0.08</x:v>
      </x:c>
      <x:c r="K18" s="28" t="str">
        <x:v>Private model hypothesis</x:v>
      </x:c>
      <x:c r="L18" s="28" t="str">
        <x:v>OWNED — CANON</x:v>
      </x:c>
      <x:c r="M18" s="28" t="str"/>
      <x:c r="N18" s="28" t="str">
        <x:v>Name alone triggers Mom acquisition protocol</x:v>
      </x:c>
    </x:row>
    <x:row r="19">
      <x:c r="A19" s="28" t="str">
        <x:v>Fleur of England</x:v>
      </x:c>
      <x:c r="B19" s="28" t="str">
        <x:v>Fleur of England</x:v>
      </x:c>
      <x:c r="C19" s="28" t="str">
        <x:v>Jewelry-box lingerie</x:v>
      </x:c>
      <x:c r="D19" s="47" t="n">
        <x:v>0.04</x:v>
      </x:c>
      <x:c r="E19" s="30" t="n">
        <x:v>1</x:v>
      </x:c>
      <x:c r="F19" s="48" t="n">
        <x:f>D19*E19</x:f>
        <x:v>0.04</x:v>
      </x:c>
      <x:c r="G19" s="47" t="n">
        <x:v>0.012</x:v>
      </x:c>
      <x:c r="H19" s="48" t="n">
        <x:f>G19*E19</x:f>
        <x:v>0.012</x:v>
      </x:c>
      <x:c r="I19" s="48" t="n">
        <x:f>H19*1000/365</x:f>
        <x:v>0.03287671232876712</x:v>
      </x:c>
      <x:c r="J19" s="48" t="n">
        <x:f>F19</x:f>
        <x:v>0.04</x:v>
      </x:c>
      <x:c r="K19" s="28" t="str">
        <x:v>Private model hypothesis</x:v>
      </x:c>
      <x:c r="L19" s="28" t="str">
        <x:v>OWNED — CANON</x:v>
      </x:c>
      <x:c r="M19" s="28" t="str"/>
      <x:c r="N19" s="28" t="str">
        <x:v>Luxury atelier hypothesis</x:v>
      </x:c>
    </x:row>
    <x:row r="20">
      <x:c r="A20" s="28" t="str">
        <x:v>Lise Charmel</x:v>
      </x:c>
      <x:c r="B20" s="28" t="str">
        <x:v>Lise Charmel</x:v>
      </x:c>
      <x:c r="C20" s="28" t="str">
        <x:v>Jewelry-box lingerie</x:v>
      </x:c>
      <x:c r="D20" s="47" t="n">
        <x:v>0.18</x:v>
      </x:c>
      <x:c r="E20" s="30" t="n">
        <x:v>0.51</x:v>
      </x:c>
      <x:c r="F20" s="48" t="n">
        <x:f>D20*E20</x:f>
        <x:v>0.09179999999999999</x:v>
      </x:c>
      <x:c r="G20" s="47" t="n">
        <x:v>0.12</x:v>
      </x:c>
      <x:c r="H20" s="48" t="n">
        <x:f>G20*E20</x:f>
        <x:v>0.0612</x:v>
      </x:c>
      <x:c r="I20" s="48" t="n">
        <x:f>H20*1000/365</x:f>
        <x:v>0.16767123287671232</x:v>
      </x:c>
      <x:c r="J20" s="48" t="n">
        <x:f>F20</x:f>
        <x:v>0.09179999999999999</x:v>
      </x:c>
      <x:c r="K20" s="28" t="str">
        <x:v>Private model hypothesis</x:v>
      </x:c>
      <x:c r="L20" s="28" t="str">
        <x:v>OWNED — CANON</x:v>
      </x:c>
      <x:c r="M20" s="28" t="str"/>
      <x:c r="N20" s="28" t="str">
        <x:v>Control</x:v>
      </x:c>
    </x:row>
    <x:row r="21">
      <x:c r="A21" s="28" t="str">
        <x:v>Aubade</x:v>
      </x:c>
      <x:c r="B21" s="28" t="str">
        <x:v>Aubade</x:v>
      </x:c>
      <x:c r="C21" s="28" t="str">
        <x:v>Jewelry-box lingerie</x:v>
      </x:c>
      <x:c r="D21" s="47" t="n">
        <x:v>0.2</x:v>
      </x:c>
      <x:c r="E21" s="30" t="n">
        <x:v>0.51</x:v>
      </x:c>
      <x:c r="F21" s="48" t="n">
        <x:f>D21*E21</x:f>
        <x:v>0.10200000000000001</x:v>
      </x:c>
      <x:c r="G21" s="47" t="n">
        <x:v>0.15</x:v>
      </x:c>
      <x:c r="H21" s="48" t="n">
        <x:f>G21*E21</x:f>
        <x:v>0.0765</x:v>
      </x:c>
      <x:c r="I21" s="48" t="n">
        <x:f>H21*1000/365</x:f>
        <x:v>0.2095890410958904</x:v>
      </x:c>
      <x:c r="J21" s="48" t="n">
        <x:f>F21</x:f>
        <x:v>0.10200000000000001</x:v>
      </x:c>
      <x:c r="K21" s="28" t="str">
        <x:v>Private model hypothesis</x:v>
      </x:c>
      <x:c r="L21" s="28" t="str">
        <x:v>OWNED — CANON</x:v>
      </x:c>
      <x:c r="M21" s="28" t="str"/>
      <x:c r="N21" s="28" t="str">
        <x:v>Control</x:v>
      </x:c>
    </x:row>
    <x:row r="22">
      <x:c r="A22" s="28" t="str">
        <x:v>Simone Pérèle</x:v>
      </x:c>
      <x:c r="B22" s="28" t="str">
        <x:v>Simone Pérèle</x:v>
      </x:c>
      <x:c r="C22" s="28" t="str">
        <x:v>Jewelry-box lingerie</x:v>
      </x:c>
      <x:c r="D22" s="47" t="n">
        <x:v>0.25</x:v>
      </x:c>
      <x:c r="E22" s="30" t="n">
        <x:v>0.51</x:v>
      </x:c>
      <x:c r="F22" s="48" t="n">
        <x:f>D22*E22</x:f>
        <x:v>0.1275</x:v>
      </x:c>
      <x:c r="G22" s="47" t="n">
        <x:v>0.2</x:v>
      </x:c>
      <x:c r="H22" s="48" t="n">
        <x:f>G22*E22</x:f>
        <x:v>0.10200000000000001</x:v>
      </x:c>
      <x:c r="I22" s="48" t="n">
        <x:f>H22*1000/365</x:f>
        <x:v>0.27945205479452057</x:v>
      </x:c>
      <x:c r="J22" s="48" t="n">
        <x:f>F22</x:f>
        <x:v>0.1275</x:v>
      </x:c>
      <x:c r="K22" s="28" t="str">
        <x:v>Private model hypothesis</x:v>
      </x:c>
      <x:c r="L22" s="28" t="str">
        <x:v>OWNED — CANON</x:v>
      </x:c>
      <x:c r="M22" s="28" t="str"/>
      <x:c r="N22" s="28" t="str">
        <x:v>Control</x:v>
      </x:c>
    </x:row>
    <x:row r="23">
      <x:c r="A23" s="28" t="str">
        <x:v>Coco de Mer</x:v>
      </x:c>
      <x:c r="B23" s="28" t="str">
        <x:v>Coco de Mer</x:v>
      </x:c>
      <x:c r="C23" s="28" t="str">
        <x:v>Jewelry-box lingerie</x:v>
      </x:c>
      <x:c r="D23" s="47" t="n">
        <x:v>0.05</x:v>
      </x:c>
      <x:c r="E23" s="30" t="n">
        <x:v>1</x:v>
      </x:c>
      <x:c r="F23" s="48" t="n">
        <x:f>D23*E23</x:f>
        <x:v>0.05</x:v>
      </x:c>
      <x:c r="G23" s="47" t="n">
        <x:v>0.015</x:v>
      </x:c>
      <x:c r="H23" s="48" t="n">
        <x:f>G23*E23</x:f>
        <x:v>0.015</x:v>
      </x:c>
      <x:c r="I23" s="48" t="n">
        <x:f>H23*1000/365</x:f>
        <x:v>0.0410958904109589</x:v>
      </x:c>
      <x:c r="J23" s="48" t="n">
        <x:f>F23</x:f>
        <x:v>0.05</x:v>
      </x:c>
      <x:c r="K23" s="28" t="str">
        <x:v>Private model hypothesis</x:v>
      </x:c>
      <x:c r="L23" s="28" t="str">
        <x:v>OWNED — CANON</x:v>
      </x:c>
      <x:c r="M23" s="28" t="str"/>
      <x:c r="N23" s="28" t="str">
        <x:v>Luxury atelier hypothesis</x:v>
      </x:c>
    </x:row>
    <x:row r="24">
      <x:c r="A24" s="28" t="str">
        <x:v>Maison Close</x:v>
      </x:c>
      <x:c r="B24" s="28" t="str">
        <x:v>Maison Close</x:v>
      </x:c>
      <x:c r="C24" s="28" t="str">
        <x:v>Jewelry-box lingerie</x:v>
      </x:c>
      <x:c r="D24" s="47" t="n">
        <x:v>0.07</x:v>
      </x:c>
      <x:c r="E24" s="30" t="n">
        <x:v>1</x:v>
      </x:c>
      <x:c r="F24" s="48" t="n">
        <x:f>D24*E24</x:f>
        <x:v>0.07</x:v>
      </x:c>
      <x:c r="G24" s="47" t="n">
        <x:v>0.022</x:v>
      </x:c>
      <x:c r="H24" s="48" t="n">
        <x:f>G24*E24</x:f>
        <x:v>0.022</x:v>
      </x:c>
      <x:c r="I24" s="48" t="n">
        <x:f>H24*1000/365</x:f>
        <x:v>0.06027397260273973</x:v>
      </x:c>
      <x:c r="J24" s="48" t="n">
        <x:f>F24</x:f>
        <x:v>0.07</x:v>
      </x:c>
      <x:c r="K24" s="28" t="str">
        <x:v>Private model hypothesis</x:v>
      </x:c>
      <x:c r="L24" s="28" t="str">
        <x:v>OWNED — CANON</x:v>
      </x:c>
      <x:c r="M24" s="28" t="str"/>
      <x:c r="N24" s="28" t="str">
        <x:v>Luxury atelier hypothesis</x:v>
      </x:c>
    </x:row>
    <x:row r="25">
      <x:c r="A25" s="28" t="str">
        <x:v>Studio Pia</x:v>
      </x:c>
      <x:c r="B25" s="28" t="str">
        <x:v>Studio Pia</x:v>
      </x:c>
      <x:c r="C25" s="28" t="str">
        <x:v>Jewelry-box lingerie</x:v>
      </x:c>
      <x:c r="D25" s="47" t="n">
        <x:v>0.04</x:v>
      </x:c>
      <x:c r="E25" s="30" t="n">
        <x:v>1</x:v>
      </x:c>
      <x:c r="F25" s="48" t="n">
        <x:f>D25*E25</x:f>
        <x:v>0.04</x:v>
      </x:c>
      <x:c r="G25" s="47" t="n">
        <x:v>0.012</x:v>
      </x:c>
      <x:c r="H25" s="48" t="n">
        <x:f>G25*E25</x:f>
        <x:v>0.012</x:v>
      </x:c>
      <x:c r="I25" s="48" t="n">
        <x:f>H25*1000/365</x:f>
        <x:v>0.03287671232876712</x:v>
      </x:c>
      <x:c r="J25" s="48" t="n">
        <x:f>F25</x:f>
        <x:v>0.04</x:v>
      </x:c>
      <x:c r="K25" s="28" t="str">
        <x:v>Private model hypothesis</x:v>
      </x:c>
      <x:c r="L25" s="28" t="str">
        <x:v>OWNED — CANON</x:v>
      </x:c>
      <x:c r="M25" s="28" t="str"/>
      <x:c r="N25" s="28" t="str">
        <x:v>Luxury atelier hypothesis</x:v>
      </x:c>
    </x:row>
    <x:row r="26">
      <x:c r="A26" s="28" t="str">
        <x:v>Edge o' Beyond</x:v>
      </x:c>
      <x:c r="B26" s="28" t="str">
        <x:v>Edge o' Beyond</x:v>
      </x:c>
      <x:c r="C26" s="28" t="str">
        <x:v>Jewelry-box lingerie</x:v>
      </x:c>
      <x:c r="D26" s="47" t="n">
        <x:v>0.03</x:v>
      </x:c>
      <x:c r="E26" s="30" t="n">
        <x:v>1</x:v>
      </x:c>
      <x:c r="F26" s="48" t="n">
        <x:f>D26*E26</x:f>
        <x:v>0.03</x:v>
      </x:c>
      <x:c r="G26" s="47" t="n">
        <x:v>0.009</x:v>
      </x:c>
      <x:c r="H26" s="48" t="n">
        <x:f>G26*E26</x:f>
        <x:v>0.009</x:v>
      </x:c>
      <x:c r="I26" s="48" t="n">
        <x:f>H26*1000/365</x:f>
        <x:v>0.024657534246575342</x:v>
      </x:c>
      <x:c r="J26" s="48" t="n">
        <x:f>F26</x:f>
        <x:v>0.03</x:v>
      </x:c>
      <x:c r="K26" s="28" t="str">
        <x:v>Private model hypothesis</x:v>
      </x:c>
      <x:c r="L26" s="28" t="str">
        <x:v>OWNED — CANON</x:v>
      </x:c>
      <x:c r="M26" s="28" t="str"/>
      <x:c r="N26" s="28" t="str">
        <x:v>Luxury atelier hypothesis</x:v>
      </x:c>
    </x:row>
    <x:row r="27">
      <x:c r="A27" s="28" t="str">
        <x:v>Marjolaine</x:v>
      </x:c>
      <x:c r="B27" s="28" t="str">
        <x:v>Marjolaine</x:v>
      </x:c>
      <x:c r="C27" s="28" t="str">
        <x:v>Jewelry-box lingerie</x:v>
      </x:c>
      <x:c r="D27" s="47" t="n">
        <x:v>0.08</x:v>
      </x:c>
      <x:c r="E27" s="30" t="n">
        <x:v>0.51</x:v>
      </x:c>
      <x:c r="F27" s="48" t="n">
        <x:f>D27*E27</x:f>
        <x:v>0.0408</x:v>
      </x:c>
      <x:c r="G27" s="47" t="n">
        <x:v>0.04</x:v>
      </x:c>
      <x:c r="H27" s="48" t="n">
        <x:f>G27*E27</x:f>
        <x:v>0.0204</x:v>
      </x:c>
      <x:c r="I27" s="48" t="n">
        <x:f>H27*1000/365</x:f>
        <x:v>0.05589041095890412</x:v>
      </x:c>
      <x:c r="J27" s="48" t="n">
        <x:f>F27</x:f>
        <x:v>0.0408</x:v>
      </x:c>
      <x:c r="K27" s="28" t="str">
        <x:v>Private model hypothesis</x:v>
      </x:c>
      <x:c r="L27" s="28" t="str">
        <x:v>OWNED — CANON</x:v>
      </x:c>
      <x:c r="M27" s="28" t="str"/>
      <x:c r="N27" s="28" t="str">
        <x:v>Silk/nightwear</x:v>
      </x:c>
    </x:row>
    <x:row r="28">
      <x:c r="A28" s="28" t="str">
        <x:v>LIVY</x:v>
      </x:c>
      <x:c r="B28" s="28" t="str">
        <x:v>LIVY</x:v>
      </x:c>
      <x:c r="C28" s="28" t="str">
        <x:v>Jewelry-box lingerie</x:v>
      </x:c>
      <x:c r="D28" s="47" t="n">
        <x:v>0.05</x:v>
      </x:c>
      <x:c r="E28" s="30" t="n">
        <x:v>1</x:v>
      </x:c>
      <x:c r="F28" s="48" t="n">
        <x:f>D28*E28</x:f>
        <x:v>0.05</x:v>
      </x:c>
      <x:c r="G28" s="47" t="n">
        <x:v>0.015</x:v>
      </x:c>
      <x:c r="H28" s="48" t="n">
        <x:f>G28*E28</x:f>
        <x:v>0.015</x:v>
      </x:c>
      <x:c r="I28" s="48" t="n">
        <x:f>H28*1000/365</x:f>
        <x:v>0.0410958904109589</x:v>
      </x:c>
      <x:c r="J28" s="48" t="n">
        <x:f>F28</x:f>
        <x:v>0.05</x:v>
      </x:c>
      <x:c r="K28" s="28" t="str">
        <x:v>Private model hypothesis</x:v>
      </x:c>
      <x:c r="L28" s="28" t="str">
        <x:v>OWNED — CANON</x:v>
      </x:c>
      <x:c r="M28" s="28" t="str"/>
      <x:c r="N28" s="28" t="str">
        <x:v>Luxury atelier hypothesis</x:v>
      </x:c>
    </x:row>
    <x:row r="29">
      <x:c r="A29" s="28" t="str">
        <x:v>Myla London</x:v>
      </x:c>
      <x:c r="B29" s="28" t="str">
        <x:v>Myla London</x:v>
      </x:c>
      <x:c r="C29" s="28" t="str">
        <x:v>Jewelry-box lingerie</x:v>
      </x:c>
      <x:c r="D29" s="47" t="n">
        <x:v>0.04</x:v>
      </x:c>
      <x:c r="E29" s="30" t="n">
        <x:v>1</x:v>
      </x:c>
      <x:c r="F29" s="48" t="n">
        <x:f>D29*E29</x:f>
        <x:v>0.04</x:v>
      </x:c>
      <x:c r="G29" s="47" t="n">
        <x:v>0.012</x:v>
      </x:c>
      <x:c r="H29" s="48" t="n">
        <x:f>G29*E29</x:f>
        <x:v>0.012</x:v>
      </x:c>
      <x:c r="I29" s="48" t="n">
        <x:f>H29*1000/365</x:f>
        <x:v>0.03287671232876712</x:v>
      </x:c>
      <x:c r="J29" s="48" t="n">
        <x:f>F29</x:f>
        <x:v>0.04</x:v>
      </x:c>
      <x:c r="K29" s="28" t="str">
        <x:v>Private model hypothesis</x:v>
      </x:c>
      <x:c r="L29" s="28" t="str">
        <x:v>OWNED — CANON</x:v>
      </x:c>
      <x:c r="M29" s="28" t="str"/>
      <x:c r="N29" s="28" t="str">
        <x:v>Luxury atelier hypothesis</x:v>
      </x:c>
    </x:row>
    <x:row r="30">
      <x:c r="A30" s="28" t="str">
        <x:v>Bluebella</x:v>
      </x:c>
      <x:c r="B30" s="28" t="str">
        <x:v>Bluebella</x:v>
      </x:c>
      <x:c r="C30" s="28" t="str">
        <x:v>Designer lingerie</x:v>
      </x:c>
      <x:c r="D30" s="47" t="n">
        <x:v>0.12</x:v>
      </x:c>
      <x:c r="E30" s="30" t="n">
        <x:v>0.51</x:v>
      </x:c>
      <x:c r="F30" s="48" t="n">
        <x:f>D30*E30</x:f>
        <x:v>0.0612</x:v>
      </x:c>
      <x:c r="G30" s="47" t="n">
        <x:v>0.08</x:v>
      </x:c>
      <x:c r="H30" s="48" t="n">
        <x:f>G30*E30</x:f>
        <x:v>0.0408</x:v>
      </x:c>
      <x:c r="I30" s="48" t="n">
        <x:f>H30*1000/365</x:f>
        <x:v>0.11178082191780823</x:v>
      </x:c>
      <x:c r="J30" s="48" t="n">
        <x:f>F30</x:f>
        <x:v>0.0612</x:v>
      </x:c>
      <x:c r="K30" s="28" t="str">
        <x:v>Private model hypothesis</x:v>
      </x:c>
      <x:c r="L30" s="28" t="str">
        <x:v>OWNED — CANON</x:v>
      </x:c>
      <x:c r="M30" s="28" t="str"/>
      <x:c r="N30" s="28" t="str">
        <x:v>Control</x:v>
      </x:c>
    </x:row>
    <x:row r="31">
      <x:c r="A31" s="28" t="str">
        <x:v>Cosabella</x:v>
      </x:c>
      <x:c r="B31" s="28" t="str">
        <x:v>Cosabella</x:v>
      </x:c>
      <x:c r="C31" s="28" t="str">
        <x:v>Designer lingerie</x:v>
      </x:c>
      <x:c r="D31" s="47" t="n">
        <x:v>0.18</x:v>
      </x:c>
      <x:c r="E31" s="30" t="n">
        <x:v>0.51</x:v>
      </x:c>
      <x:c r="F31" s="48" t="n">
        <x:f>D31*E31</x:f>
        <x:v>0.09179999999999999</x:v>
      </x:c>
      <x:c r="G31" s="47" t="n">
        <x:v>0.12</x:v>
      </x:c>
      <x:c r="H31" s="48" t="n">
        <x:f>G31*E31</x:f>
        <x:v>0.0612</x:v>
      </x:c>
      <x:c r="I31" s="48" t="n">
        <x:f>H31*1000/365</x:f>
        <x:v>0.16767123287671232</x:v>
      </x:c>
      <x:c r="J31" s="48" t="n">
        <x:f>F31</x:f>
        <x:v>0.09179999999999999</x:v>
      </x:c>
      <x:c r="K31" s="28" t="str">
        <x:v>Private model hypothesis</x:v>
      </x:c>
      <x:c r="L31" s="28" t="str">
        <x:v>OWNED — CANON</x:v>
      </x:c>
      <x:c r="M31" s="28" t="str"/>
      <x:c r="N31" s="28" t="str">
        <x:v>Control</x:v>
      </x:c>
    </x:row>
    <x:row r="32">
      <x:c r="A32" s="28" t="str">
        <x:v>Hanky Panky</x:v>
      </x:c>
      <x:c r="B32" s="28" t="str">
        <x:v>Hanky Panky</x:v>
      </x:c>
      <x:c r="C32" s="28" t="str">
        <x:v>Designer lingerie</x:v>
      </x:c>
      <x:c r="D32" s="47" t="n">
        <x:v>0.2</x:v>
      </x:c>
      <x:c r="E32" s="30" t="n">
        <x:v>0.51</x:v>
      </x:c>
      <x:c r="F32" s="48" t="n">
        <x:f>D32*E32</x:f>
        <x:v>0.10200000000000001</x:v>
      </x:c>
      <x:c r="G32" s="47" t="n">
        <x:v>0.15</x:v>
      </x:c>
      <x:c r="H32" s="48" t="n">
        <x:f>G32*E32</x:f>
        <x:v>0.0765</x:v>
      </x:c>
      <x:c r="I32" s="48" t="n">
        <x:f>H32*1000/365</x:f>
        <x:v>0.2095890410958904</x:v>
      </x:c>
      <x:c r="J32" s="48" t="n">
        <x:f>F32</x:f>
        <x:v>0.10200000000000001</x:v>
      </x:c>
      <x:c r="K32" s="28" t="str">
        <x:v>Private model hypothesis</x:v>
      </x:c>
      <x:c r="L32" s="28" t="str">
        <x:v>OWNED — CANON</x:v>
      </x:c>
      <x:c r="M32" s="28" t="str"/>
      <x:c r="N32" s="28" t="str">
        <x:v>Control</x:v>
      </x:c>
    </x:row>
    <x:row r="33">
      <x:c r="A33" s="28" t="str">
        <x:v>Natori</x:v>
      </x:c>
      <x:c r="B33" s="28" t="str">
        <x:v>Natori</x:v>
      </x:c>
      <x:c r="C33" s="28" t="str">
        <x:v>Designer lingerie</x:v>
      </x:c>
      <x:c r="D33" s="47" t="n">
        <x:v>0.25</x:v>
      </x:c>
      <x:c r="E33" s="30" t="n">
        <x:v>0.51</x:v>
      </x:c>
      <x:c r="F33" s="48" t="n">
        <x:f>D33*E33</x:f>
        <x:v>0.1275</x:v>
      </x:c>
      <x:c r="G33" s="47" t="n">
        <x:v>0.2</x:v>
      </x:c>
      <x:c r="H33" s="48" t="n">
        <x:f>G33*E33</x:f>
        <x:v>0.10200000000000001</x:v>
      </x:c>
      <x:c r="I33" s="48" t="n">
        <x:f>H33*1000/365</x:f>
        <x:v>0.27945205479452057</x:v>
      </x:c>
      <x:c r="J33" s="48" t="n">
        <x:f>F33</x:f>
        <x:v>0.1275</x:v>
      </x:c>
      <x:c r="K33" s="28" t="str">
        <x:v>Private model hypothesis</x:v>
      </x:c>
      <x:c r="L33" s="28" t="str">
        <x:v>OWNED — CANON</x:v>
      </x:c>
      <x:c r="M33" s="28" t="str"/>
      <x:c r="N33" s="28" t="str">
        <x:v>Control</x:v>
      </x:c>
    </x:row>
    <x:row r="34">
      <x:c r="A34" s="28" t="str">
        <x:v>Wolford</x:v>
      </x:c>
      <x:c r="B34" s="28" t="str">
        <x:v>Wolford</x:v>
      </x:c>
      <x:c r="C34" s="28" t="str">
        <x:v>Hosiery / bodywear</x:v>
      </x:c>
      <x:c r="D34" s="47" t="n">
        <x:v>0.3</x:v>
      </x:c>
      <x:c r="E34" s="30" t="n">
        <x:v>0.51</x:v>
      </x:c>
      <x:c r="F34" s="48" t="n">
        <x:f>D34*E34</x:f>
        <x:v>0.153</x:v>
      </x:c>
      <x:c r="G34" s="47" t="n">
        <x:v>0.25</x:v>
      </x:c>
      <x:c r="H34" s="48" t="n">
        <x:f>G34*E34</x:f>
        <x:v>0.1275</x:v>
      </x:c>
      <x:c r="I34" s="48" t="n">
        <x:f>H34*1000/365</x:f>
        <x:v>0.3493150684931507</x:v>
      </x:c>
      <x:c r="J34" s="48" t="n">
        <x:f>F34</x:f>
        <x:v>0.153</x:v>
      </x:c>
      <x:c r="K34" s="28" t="str">
        <x:v>Working model hypothesis</x:v>
      </x:c>
      <x:c r="L34" s="28" t="str">
        <x:v>OWNED — CANON</x:v>
      </x:c>
      <x:c r="M34" s="28" t="str"/>
      <x:c r="N34" s="28" t="str">
        <x:v>Hosiery is not optional</x:v>
      </x:c>
    </x:row>
    <x:row r="35">
      <x:c r="A35" s="28" t="str">
        <x:v>Bravissimo</x:v>
      </x:c>
      <x:c r="B35" s="28" t="str">
        <x:v>Bravissimo</x:v>
      </x:c>
      <x:c r="C35" s="28" t="str">
        <x:v>Fit-specialist lingerie</x:v>
      </x:c>
      <x:c r="D35" s="47" t="n">
        <x:v>0.2</x:v>
      </x:c>
      <x:c r="E35" s="30" t="n">
        <x:v>0.51</x:v>
      </x:c>
      <x:c r="F35" s="48" t="n">
        <x:f>D35*E35</x:f>
        <x:v>0.10200000000000001</x:v>
      </x:c>
      <x:c r="G35" s="47" t="n">
        <x:v>0.18</x:v>
      </x:c>
      <x:c r="H35" s="48" t="n">
        <x:f>G35*E35</x:f>
        <x:v>0.09179999999999999</x:v>
      </x:c>
      <x:c r="I35" s="48" t="n">
        <x:f>H35*1000/365</x:f>
        <x:v>0.2515068493150685</x:v>
      </x:c>
      <x:c r="J35" s="48" t="n">
        <x:f>F35</x:f>
        <x:v>0.10200000000000001</x:v>
      </x:c>
      <x:c r="K35" s="28" t="str">
        <x:v>Private model hypothesis</x:v>
      </x:c>
      <x:c r="L35" s="28" t="str">
        <x:v>OWNED — CANON</x:v>
      </x:c>
      <x:c r="M35" s="28" t="str"/>
      <x:c r="N35" s="28" t="str">
        <x:v>Care/fit pillar</x:v>
      </x:c>
    </x:row>
    <x:row r="36">
      <x:c r="A36" s="28" t="str">
        <x:v>Knix</x:v>
      </x:c>
      <x:c r="B36" s="28" t="str">
        <x:v>Knix</x:v>
      </x:c>
      <x:c r="C36" s="28" t="str">
        <x:v>Period / leakproof intimates</x:v>
      </x:c>
      <x:c r="D36" s="47" t="n">
        <x:v>0.5</x:v>
      </x:c>
      <x:c r="E36" s="30" t="n">
        <x:v>0.3</x:v>
      </x:c>
      <x:c r="F36" s="48" t="n">
        <x:f>D36*E36</x:f>
        <x:v>0.15</x:v>
      </x:c>
      <x:c r="G36" s="47" t="n">
        <x:v>0.25</x:v>
      </x:c>
      <x:c r="H36" s="48" t="n">
        <x:f>G36*E36</x:f>
        <x:v>0.075</x:v>
      </x:c>
      <x:c r="I36" s="48" t="n">
        <x:f>H36*1000/365</x:f>
        <x:v>0.2054794520547945</x:v>
      </x:c>
      <x:c r="J36" s="48" t="n">
        <x:f>F36</x:f>
        <x:v>0.15</x:v>
      </x:c>
      <x:c r="K36" s="28" t="str">
        <x:v>Private model hypothesis</x:v>
      </x:c>
      <x:c r="L36" s="28" t="str">
        <x:v>OWNED — CANON</x:v>
      </x:c>
      <x:c r="M36" s="28" t="str"/>
      <x:c r="N36" s="28" t="str">
        <x:v>Technical intimates</x:v>
      </x:c>
    </x:row>
    <x:row r="37">
      <x:c r="A37" s="28" t="str">
        <x:v>ThirdLove</x:v>
      </x:c>
      <x:c r="B37" s="28" t="str">
        <x:v>ThirdLove</x:v>
      </x:c>
      <x:c r="C37" s="28" t="str">
        <x:v>Lingerie</x:v>
      </x:c>
      <x:c r="D37" s="47" t="n">
        <x:v>0.4</x:v>
      </x:c>
      <x:c r="E37" s="30" t="n">
        <x:v>0.3</x:v>
      </x:c>
      <x:c r="F37" s="48" t="n">
        <x:f>D37*E37</x:f>
        <x:v>0.12</x:v>
      </x:c>
      <x:c r="G37" s="47" t="n">
        <x:v>0.25</x:v>
      </x:c>
      <x:c r="H37" s="48" t="n">
        <x:f>G37*E37</x:f>
        <x:v>0.075</x:v>
      </x:c>
      <x:c r="I37" s="48" t="n">
        <x:f>H37*1000/365</x:f>
        <x:v>0.2054794520547945</x:v>
      </x:c>
      <x:c r="J37" s="48" t="n">
        <x:f>F37</x:f>
        <x:v>0.12</x:v>
      </x:c>
      <x:c r="K37" s="28" t="str">
        <x:v>Private model hypothesis</x:v>
      </x:c>
      <x:c r="L37" s="28" t="str">
        <x:v>OWNED — CANON</x:v>
      </x:c>
      <x:c r="M37" s="28" t="str"/>
      <x:c r="N37" s="28" t="str">
        <x:v>Fit/data pillar</x:v>
      </x:c>
    </x:row>
    <x:row r="38">
      <x:c r="A38" s="28" t="str">
        <x:v>L'Oréal</x:v>
      </x:c>
      <x:c r="B38" s="28" t="str">
        <x:v>40-brand global beauty platform</x:v>
      </x:c>
      <x:c r="C38" s="28" t="str">
        <x:v>Beauty artillery</x:v>
      </x:c>
      <x:c r="D38" s="47" t="n">
        <x:v>235.62</x:v>
      </x:c>
      <x:c r="E38" s="30" t="n">
        <x:v>0.3</x:v>
      </x:c>
      <x:c r="F38" s="48" t="n">
        <x:f>D38*E38</x:f>
        <x:v>70.68599999999999</x:v>
      </x:c>
      <x:c r="G38" s="47" t="n">
        <x:v>51</x:v>
      </x:c>
      <x:c r="H38" s="48" t="n">
        <x:f>G38*E38</x:f>
        <x:v>15.299999999999999</x:v>
      </x:c>
      <x:c r="I38" s="48" t="n">
        <x:f>H38*1000/365</x:f>
        <x:v>41.91780821917808</x:v>
      </x:c>
      <x:c r="J38" s="48" t="n">
        <x:f>F38</x:f>
        <x:v>70.68599999999999</x:v>
      </x:c>
      <x:c r="K38" s="28" t="str">
        <x:v>Public Sep-2026 market cap; revenue working USD conversion from €44.05B</x:v>
      </x:c>
      <x:c r="L38" s="28" t="str">
        <x:v>OWNED — CANON</x:v>
      </x:c>
      <x:c r="M38" s="28" t="str">
        <x:v>https://companiesmarketcap.com/l-oreal/marketcap/</x:v>
      </x:c>
      <x:c r="N38" s="28" t="str">
        <x:v>The manicured finger in the enormous beauty pot</x:v>
      </x:c>
    </x:row>
    <x:row r="39">
      <x:c r="A39" s="28" t="str">
        <x:v>Ulta Beauty</x:v>
      </x:c>
      <x:c r="B39" s="28" t="str">
        <x:v>Ulta + Space NK acquisition exposure</x:v>
      </x:c>
      <x:c r="C39" s="28" t="str">
        <x:v>Beauty retail</x:v>
      </x:c>
      <x:c r="D39" s="47" t="n">
        <x:v>23.16</x:v>
      </x:c>
      <x:c r="E39" s="30" t="n">
        <x:v>0.3</x:v>
      </x:c>
      <x:c r="F39" s="48" t="n">
        <x:f>D39*E39</x:f>
        <x:v>6.9479999999999995</x:v>
      </x:c>
      <x:c r="G39" s="47" t="n">
        <x:v>12.4</x:v>
      </x:c>
      <x:c r="H39" s="48" t="n">
        <x:f>G39*E39</x:f>
        <x:v>3.7199999999999998</x:v>
      </x:c>
      <x:c r="I39" s="48" t="n">
        <x:f>H39*1000/365</x:f>
        <x:v>10.191780821917806</x:v>
      </x:c>
      <x:c r="J39" s="48" t="n">
        <x:f>F39</x:f>
        <x:v>6.9479999999999995</x:v>
      </x:c>
      <x:c r="K39" s="28" t="str">
        <x:v>Public Sep-2026 market cap; revenue annualized from 1H26 working model</x:v>
      </x:c>
      <x:c r="L39" s="28" t="str">
        <x:v>OWNED — CANON</x:v>
      </x:c>
      <x:c r="M39" s="28" t="str">
        <x:v>https://companiesmarketcap.com/ulta-beauty/marketcap/</x:v>
      </x:c>
      <x:c r="N39" s="28" t="str">
        <x:v>Strategic retail block</x:v>
      </x:c>
    </x:row>
    <x:row r="40">
      <x:c r="A40" s="28" t="str">
        <x:v>e.l.f. Beauty</x:v>
      </x:c>
      <x:c r="B40" s="28" t="str">
        <x:v>e.l.f., rhode, Naturium and portfolio</x:v>
      </x:c>
      <x:c r="C40" s="28" t="str">
        <x:v>Beauty</x:v>
      </x:c>
      <x:c r="D40" s="47" t="n">
        <x:v>5.9</x:v>
      </x:c>
      <x:c r="E40" s="30" t="n">
        <x:v>0.3</x:v>
      </x:c>
      <x:c r="F40" s="48" t="n">
        <x:f>D40*E40</x:f>
        <x:v>1.77</x:v>
      </x:c>
      <x:c r="G40" s="47" t="n">
        <x:v>1.84</x:v>
      </x:c>
      <x:c r="H40" s="48" t="n">
        <x:f>G40*E40</x:f>
        <x:v>0.552</x:v>
      </x:c>
      <x:c r="I40" s="48" t="n">
        <x:f>H40*1000/365</x:f>
        <x:v>1.5123287671232877</x:v>
      </x:c>
      <x:c r="J40" s="48" t="n">
        <x:f>F40</x:f>
        <x:v>1.77</x:v>
      </x:c>
      <x:c r="K40" s="28" t="str">
        <x:v>Public Sep-2026 market cap; FY27 midpoint outlook working revenue</x:v>
      </x:c>
      <x:c r="L40" s="28" t="str">
        <x:v>OWNED — CANON</x:v>
      </x:c>
      <x:c r="M40" s="28" t="str">
        <x:v>https://companiesmarketcap.com/elf-cosmetics/marketcap/</x:v>
      </x:c>
      <x:c r="N40" s="28" t="str">
        <x:v>Fast-growth beauty block</x:v>
      </x:c>
    </x:row>
    <x:row r="43">
      <x:c r="A43" s="52" t="str">
        <x:v>PROGRAM TOTALS</x:v>
      </x:c>
      <x:c r="B43" s="52"/>
      <x:c r="C43" s="52"/>
      <x:c r="D43" s="52"/>
      <x:c r="E43" s="52"/>
      <x:c r="F43" s="52"/>
    </x:row>
    <x:row r="44">
      <x:c r="A44" t="str">
        <x:v>Targets / groups</x:v>
      </x:c>
      <x:c r="B44" t="n">
        <x:f>COUNTA(A4:A40)</x:f>
        <x:v>37</x:v>
      </x:c>
    </x:row>
    <x:row r="45">
      <x:c r="A45" t="str">
        <x:v>Attributable equity added ($B)</x:v>
      </x:c>
      <x:c r="B45" s="44" t="n">
        <x:f>SUM(F4:F40)</x:f>
        <x:v>94.24389999999998</x:v>
      </x:c>
    </x:row>
    <x:row r="46">
      <x:c r="A46" t="str">
        <x:v>Hat Fund deployed ($B)</x:v>
      </x:c>
      <x:c r="B46" s="44" t="n">
        <x:f>SUM(J4:J40)</x:f>
        <x:v>94.24389999999998</x:v>
      </x:c>
    </x:row>
    <x:row r="47">
      <x:c r="A47" t="str">
        <x:v>Hat Fund remaining ($B)</x:v>
      </x:c>
      <x:c r="B47" s="44" t="n">
        <x:f>400-B46</x:f>
        <x:v>305.7561</x:v>
      </x:c>
    </x:row>
    <x:row r="48">
      <x:c r="A48" t="str">
        <x:v>Annual attributable revenue ($B)</x:v>
      </x:c>
      <x:c r="B48" s="44" t="n">
        <x:f>SUM(H4:H40)</x:f>
        <x:v>29.917499999999997</x:v>
      </x:c>
    </x:row>
    <x:row r="49">
      <x:c r="A49" t="str">
        <x:v>Daily attributable revenue ($M)</x:v>
      </x:c>
      <x:c r="B49" s="44" t="n">
        <x:f>SUM(I4:I40)</x:f>
        <x:v>81.96575342465754</x:v>
      </x:c>
    </x:row>
    <x:row r="50">
      <x:c r="A50" t="str">
        <x:v>Fashion Empire midpoint after program ($B)</x:v>
      </x:c>
      <x:c r="B50" s="44" t="n">
        <x:f>Summary!B5+B45</x:f>
        <x:v>560.9625999999997</x:v>
      </x:c>
    </x:row>
  </x:sheetData>
  <x:mergeCells>
    <x:mergeCell ref="A1:N1"/>
    <x:mergeCell ref="A43:F43"/>
    <x:mergeCell ref="A2:N2"/>
  </x:mergeCells>
  <x:pageMargins left="0.7" right="0.7" top="0.75" bottom="0.75" header="0.3" footer="0.3"/>
  <x:tableParts count="1">
    <x:tablePart xmlns:r="http://schemas.openxmlformats.org/officeDocument/2006/relationships" r:id="R10c7dd69be7e4788"/>
  </x:tableParts>
</x:worksheet>
</file>