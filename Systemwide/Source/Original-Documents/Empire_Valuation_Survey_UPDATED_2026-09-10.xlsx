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f7d22717e4de4f74" /></Relationships>
</file>

<file path=xl/workbook.xml><?xml version="1.0" encoding="utf-8"?>
<x:workbook xmlns:x="http://schemas.openxmlformats.org/spreadsheetml/2006/main">
  <x:sheets>
    <x:sheet xmlns:r="http://schemas.openxmlformats.org/officeDocument/2006/relationships" name="Valuation Grid" sheetId="1" r:id="R9a93f3f1a0464055"/>
    <x:sheet xmlns:r="http://schemas.openxmlformats.org/officeDocument/2006/relationships" name="Assumptions" sheetId="2" r:id="R1ed0032eac284140"/>
    <x:sheet xmlns:r="http://schemas.openxmlformats.org/officeDocument/2006/relationships" name="Summary" sheetId="3" r:id="R16f632b18a25403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Red]($0.00);-"/>
  </x:numFmts>
  <x:fonts count="6">
    <x:font>
      <x:sz val="11"/>
      <x:name val="Carlito"/>
    </x:font>
    <x:font>
      <x:b/>
      <x:sz val="11"/>
      <x:color rgb="FFFFFFFF"/>
      <x:name val="Carlito"/>
    </x:font>
    <x:font>
      <x:b/>
      <x:sz val="16"/>
      <x:color rgb="FFFFFFFF"/>
      <x:name val="Carlito"/>
    </x:font>
    <x:font>
      <x:sz val="11"/>
      <x:color rgb="FF0000FF"/>
      <x:name val="Carlito"/>
    </x:font>
    <x:font>
      <x:sz val="11"/>
      <x:color rgb="FF000000"/>
      <x:name val="Carlito"/>
    </x:font>
    <x:font>
      <x:sz val="11"/>
      <x:color rgb="FF008000"/>
      <x:name val="Carlito"/>
    </x:font>
  </x:fonts>
  <x:fills count="3">
    <x:fill>
      <x:patternFill patternType="none"/>
    </x:fill>
    <x:fill>
      <x:patternFill patternType="gray125"/>
    </x:fill>
    <x:fill>
      <x:patternFill patternType="solid">
        <x:fgColor rgb="FF17324D"/>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3" fillId="0" borderId="0" xfId="0" applyNumberFormat="1" applyFont="1" applyFill="1" applyBorder="1"/>
    <x:xf numFmtId="201" fontId="3" fillId="0" borderId="0" xfId="0" applyNumberFormat="1" applyFont="1" applyFill="1" applyBorder="1"/>
    <x:xf numFmtId="200" fontId="3" fillId="0" borderId="1" xfId="0" applyNumberFormat="1" applyFont="1" applyFill="1" applyBorder="1"/>
    <x:xf numFmtId="201" fontId="3"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0" fontId="0" fillId="0" borderId="0" xfId="0" applyNumberFormat="1" applyFont="1" applyFill="1" applyBorder="1" applyAlignment="1">
      <x:alignment wrapText="1"/>
    </x:xf>
    <x:xf numFmtId="200" fontId="3" fillId="0" borderId="0" xfId="0" applyNumberFormat="1" applyFont="1" applyFill="1" applyBorder="1" applyAlignment="1">
      <x:alignment wrapText="1"/>
    </x:xf>
    <x:xf numFmtId="201" fontId="3"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200" fontId="4" fillId="0"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200" fontId="5"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200" fontId="5"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0" borderId="0" xfId="0" applyNumberFormat="1" applyFont="1" applyFill="1" applyBorder="1"/>
    <x:xf numFmtId="202" fontId="0" fillId="0" borderId="0" xfId="0" applyNumberFormat="1" applyFont="1" applyFill="1" applyBorder="1"/>
    <x:xf numFmtId="202" fontId="3" fillId="0" borderId="0" xfId="0" applyNumberFormat="1" applyFont="1" applyFill="1" applyBorder="1"/>
    <x:xf numFmtId="202" fontId="4" fillId="0" borderId="0" xfId="0" applyNumberFormat="1" applyFont="1" applyFill="1" applyBorder="1"/>
    <x:xf numFmtId="202" fontId="3" fillId="0" borderId="0" xfId="0" applyNumberFormat="1" applyFont="1" applyFill="1" applyBorder="1" applyAlignment="1">
      <x:alignment wrapText="1"/>
    </x:xf>
    <x:xf numFmtId="202" fontId="4" fillId="0" borderId="0" xfId="0" applyNumberFormat="1" applyFont="1" applyFill="1" applyBorder="1" applyAlignment="1">
      <x:alignment wrapText="1"/>
    </x:xf>
  </x:cellXfs>
  <x:cellStyles count="1">
    <x:cellStyle name="Normal" xfId="0"/>
  </x:cellStyles>
  <x:dxfs count="2">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e33ac86ed84d91" /><Relationship Type="http://schemas.openxmlformats.org/officeDocument/2006/relationships/theme" Target="/xl/theme/theme1.xml" Id="R5c7735b41da240da" /><Relationship Type="http://schemas.openxmlformats.org/officeDocument/2006/relationships/sharedStrings" Target="/xl/sharedStrings.xml" Id="R5cbbb02f0896465c" /><Relationship Type="http://schemas.openxmlformats.org/officeDocument/2006/relationships/worksheet" Target="/xl/worksheets/sheet1.xml" Id="R9a93f3f1a0464055" /><Relationship Type="http://schemas.openxmlformats.org/officeDocument/2006/relationships/worksheet" Target="/xl/worksheets/sheet2.xml" Id="R1ed0032eac284140" /><Relationship Type="http://schemas.openxmlformats.org/officeDocument/2006/relationships/worksheet" Target="/xl/worksheets/sheet3.xml" Id="R16f632b18a25403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c194fbfd2a4a2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Fashion Empire attributable value</a:t>
            </a:r>
          </a:p>
        </c:rich>
      </c:tx>
    </c:title>
    <c:plotArea>
      <c:barChart>
        <c:barDir val="col"/>
        <c:varyColors val="0"/>
        <c:ser>
          <c:idx val="0"/>
          <c:order val="0"/>
          <c:tx>
            <c:v>Attributable value ($B)</c:v>
          </c:tx>
          <c:cat>
            <c:strRef>
              <c:f>'Summary'!$D$4:$D$6</c:f>
              <c:strCache>
                <c:ptCount val="0"/>
              </c:strCache>
            </c:strRef>
          </c:cat>
          <c:val>
            <c:numRef>
              <c:f>'Summary'!$E$4:$E$6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10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c194fbfd2a4a28"/>
        </a:graphicData>
      </a:graphic>
    </xdr:graphicFrame>
    <xdr:clientData/>
  </xdr:twoCellAnchor>
</xdr:wsDr>
</file>

<file path=xl/tables/table1.xml><?xml version="1.0" encoding="utf-8"?>
<x:table xmlns:x="http://schemas.openxmlformats.org/spreadsheetml/2006/main" id="3" name="FashionEmpireValuation" displayName="FashionEmpireValuation" ref="A1:N89" headerRowCount="1" totalsRowCount="0" totalsRowShown="0">
  <x:tableColumns count="14">
    <x:tableColumn id="1" name="Entity / Group"/>
    <x:tableColumn id="2" name="Key brands / assets in Jim map"/>
    <x:tableColumn id="3" name="Type"/>
    <x:tableColumn id="4" name="Valuation basis"/>
    <x:tableColumn id="5" name="Low value ($B)"/>
    <x:tableColumn id="6" name="Mid value ($B)"/>
    <x:tableColumn id="7" name="High value ($B)"/>
    <x:tableColumn id="8" name="Jim stake %"/>
    <x:tableColumn id="9" name="Low attributable ($B)"/>
    <x:tableColumn id="10" name="Mid attributable ($B)"/>
    <x:tableColumn id="11" name="High attributable ($B)"/>
    <x:tableColumn id="12" name="Treatment / overlap note"/>
    <x:tableColumn id="13" name="Confidence"/>
    <x:tableColumn id="14" name="Source / rationale"/>
  </x:tableColumns>
  <x:tableStyleInfo name="TableStyleMedium2" showFirstColumn="0" showLastColumn="0" showRowStripes="1" showColumnStripes="0"/>
</x:table>
</file>

<file path=xl/tables/table2.xml><?xml version="1.0" encoding="utf-8"?>
<x:table xmlns:x="http://schemas.openxmlformats.org/spreadsheetml/2006/main" id="2" name="ValuationAssumptions" displayName="ValuationAssumptions" ref="A1:D10" headerRowCount="1" totalsRowCount="0" totalsRowShown="0">
  <x:tableColumns count="4">
    <x:tableColumn id="1" name="Assumption"/>
    <x:tableColumn id="2" name="Value"/>
    <x:tableColumn id="3" name="Status"/>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11932de7294051" /></Relationships>
</file>

<file path=xl/worksheets/_rels/sheet2.xml.rels>&#65279;<?xml version="1.0" encoding="utf-8"?><Relationships xmlns="http://schemas.openxmlformats.org/package/2006/relationships"><Relationship Type="http://schemas.openxmlformats.org/officeDocument/2006/relationships/table" Target="/xl/tables/table2.xml" Id="Raa746e499613422b" /></Relationships>
</file>

<file path=xl/worksheets/_rels/sheet3.xml.rels>&#65279;<?xml version="1.0" encoding="utf-8"?><Relationships xmlns="http://schemas.openxmlformats.org/package/2006/relationships"><Relationship Type="http://schemas.openxmlformats.org/officeDocument/2006/relationships/drawing" Target="/xl/drawings/drawing1.xml" Id="R9555068f14cf41c5" /></Relationships>
</file>

<file path=xl/worksheets/sheet1.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30" hidden="0" customWidth="1"/>
    <x:col min="5" max="5" width="14" hidden="0" customWidth="1"/>
    <x:col min="6" max="6" width="14" hidden="0" customWidth="1"/>
    <x:col min="7" max="7" width="14" hidden="0" customWidth="1"/>
    <x:col min="8" max="8" width="12" hidden="0" customWidth="1"/>
    <x:col min="9" max="9" width="17" hidden="0" customWidth="1"/>
    <x:col min="10" max="10" width="17" hidden="0" customWidth="1"/>
    <x:col min="11" max="11" width="17" hidden="0" customWidth="1"/>
    <x:col min="12" max="12" width="48" hidden="0" customWidth="1"/>
    <x:col min="13" max="13" width="15" hidden="0" customWidth="1"/>
    <x:col min="14" max="14" width="52" hidden="0" customWidth="1"/>
  </x:cols>
  <x:sheetData>
    <x:row r="1">
      <x:c r="A1" s="6" t="str">
        <x:v>Entity / Group</x:v>
      </x:c>
      <x:c r="B1" s="6" t="str">
        <x:v>Key brands / assets in Jim map</x:v>
      </x:c>
      <x:c r="C1" s="6" t="str">
        <x:v>Type</x:v>
      </x:c>
      <x:c r="D1" s="6" t="str">
        <x:v>Valuation basis</x:v>
      </x:c>
      <x:c r="E1" s="6" t="str">
        <x:v>Low value ($B)</x:v>
      </x:c>
      <x:c r="F1" s="6" t="str">
        <x:v>Mid value ($B)</x:v>
      </x:c>
      <x:c r="G1" s="6" t="str">
        <x:v>High value ($B)</x:v>
      </x:c>
      <x:c r="H1" s="6" t="str">
        <x:v>Jim stake %</x:v>
      </x:c>
      <x:c r="I1" s="6" t="str">
        <x:v>Low attributable ($B)</x:v>
      </x:c>
      <x:c r="J1" s="6" t="str">
        <x:v>Mid attributable ($B)</x:v>
      </x:c>
      <x:c r="K1" s="6" t="str">
        <x:v>High attributable ($B)</x:v>
      </x:c>
      <x:c r="L1" s="6" t="str">
        <x:v>Treatment / overlap note</x:v>
      </x:c>
      <x:c r="M1" s="6" t="str">
        <x:v>Confidence</x:v>
      </x:c>
      <x:c r="N1" s="6" t="str">
        <x:v>Source / rationale</x:v>
      </x:c>
    </x:row>
    <x:row r="2">
      <x:c r="A2" s="28" t="str">
        <x:v>LVMH</x:v>
      </x:c>
      <x:c r="B2" s="28" t="str">
        <x:v>Louis Vuitton, Dior, Fendi, Givenchy, Céline, Loewe, Kenzo, Marc Jacobs, Rimowa, Berluti, Patou, Moynat, Guerlain</x:v>
      </x:c>
      <x:c r="C2" s="28" t="str">
        <x:v>Public parent</x:v>
      </x:c>
      <x:c r="D2" s="28" t="str">
        <x:v>Sep-2026 market cap</x:v>
      </x:c>
      <x:c r="E2" s="29" t="n">
        <x:v>236.03</x:v>
      </x:c>
      <x:c r="F2" s="29" t="n">
        <x:v>236.03</x:v>
      </x:c>
      <x:c r="G2" s="29" t="n">
        <x:v>236.03</x:v>
      </x:c>
      <x:c r="H2" s="30" t="n">
        <x:v>0.51</x:v>
      </x:c>
      <x:c r="I2" s="31" t="n">
        <x:f>E2*H2</x:f>
        <x:v>120.3753</x:v>
      </x:c>
      <x:c r="J2" s="31" t="n">
        <x:f>F2*H2</x:f>
        <x:v>120.3753</x:v>
      </x:c>
      <x:c r="K2" s="31" t="n">
        <x:f>G2*H2</x:f>
        <x:v>120.3753</x:v>
      </x:c>
      <x:c r="L2" s="28" t="str">
        <x:v>Count parent once; do NOT separately value LVMH child brands</x:v>
      </x:c>
      <x:c r="M2" s="28" t="str">
        <x:v>High</x:v>
      </x:c>
      <x:c r="N2" s="28" t="str">
        <x:v>https://companiesmarketcap.com/lvmh/marketcap/</x:v>
      </x:c>
    </x:row>
    <x:row r="3">
      <x:c r="A3" s="28" t="str">
        <x:v>Kering</x:v>
      </x:c>
      <x:c r="B3" s="28" t="str">
        <x:v>Gucci, Saint Laurent, Balenciaga, Bottega Veneta, Alexander McQueen, Brioni</x:v>
      </x:c>
      <x:c r="C3" s="28" t="str">
        <x:v>Public parent</x:v>
      </x:c>
      <x:c r="D3" s="28" t="str">
        <x:v>Sep-2026 working market cap</x:v>
      </x:c>
      <x:c r="E3" s="29" t="n">
        <x:v>33.12</x:v>
      </x:c>
      <x:c r="F3" s="29" t="n">
        <x:v>33.12</x:v>
      </x:c>
      <x:c r="G3" s="29" t="n">
        <x:v>33.12</x:v>
      </x:c>
      <x:c r="H3" s="30" t="n">
        <x:v>0.51</x:v>
      </x:c>
      <x:c r="I3" s="31" t="n">
        <x:f>E3*H3</x:f>
        <x:v>16.891199999999998</x:v>
      </x:c>
      <x:c r="J3" s="31" t="n">
        <x:f>F3*H3</x:f>
        <x:v>16.891199999999998</x:v>
      </x:c>
      <x:c r="K3" s="31" t="n">
        <x:f>G3*H3</x:f>
        <x:v>16.891199999999998</x:v>
      </x:c>
      <x:c r="L3" s="28" t="str">
        <x:v>Count parent once; Valentino overlap must be audited</x:v>
      </x:c>
      <x:c r="M3" s="28" t="str">
        <x:v>High</x:v>
      </x:c>
      <x:c r="N3" s="28" t="str">
        <x:v>Current Sep-2026 market-cap working input</x:v>
      </x:c>
    </x:row>
    <x:row r="4">
      <x:c r="A4" s="28" t="str">
        <x:v>Richemont</x:v>
      </x:c>
      <x:c r="B4" s="28" t="str">
        <x:v>Alaïa, Chloé, Delvaux, Cartier, Van Cleef &amp; Arpels</x:v>
      </x:c>
      <x:c r="C4" s="28" t="str">
        <x:v>Public parent</x:v>
      </x:c>
      <x:c r="D4" s="28" t="str">
        <x:v>Sep-9-2026 market cap</x:v>
      </x:c>
      <x:c r="E4" s="29" t="n">
        <x:v>115.14</x:v>
      </x:c>
      <x:c r="F4" s="29" t="n">
        <x:v>115.14</x:v>
      </x:c>
      <x:c r="G4" s="29" t="n">
        <x:v>115.14</x:v>
      </x:c>
      <x:c r="H4" s="30" t="n">
        <x:v>0.3</x:v>
      </x:c>
      <x:c r="I4" s="31" t="n">
        <x:f>E4*H4</x:f>
        <x:v>34.542</x:v>
      </x:c>
      <x:c r="J4" s="31" t="n">
        <x:f>F4*H4</x:f>
        <x:v>34.542</x:v>
      </x:c>
      <x:c r="K4" s="31" t="n">
        <x:f>G4*H4</x:f>
        <x:v>34.542</x:v>
      </x:c>
      <x:c r="L4" s="28" t="str">
        <x:v>Count parent once; no child-brand double count</x:v>
      </x:c>
      <x:c r="M4" s="28" t="str">
        <x:v>High</x:v>
      </x:c>
      <x:c r="N4" s="28" t="str">
        <x:v>https://ycharts.com/companies/CFRUY/market_cap</x:v>
      </x:c>
    </x:row>
    <x:row r="5">
      <x:c r="A5" s="28" t="str">
        <x:v>Prada Group</x:v>
      </x:c>
      <x:c r="B5" s="28" t="str">
        <x:v>Prada, Miu Miu, Versace</x:v>
      </x:c>
      <x:c r="C5" s="28" t="str">
        <x:v>Public parent</x:v>
      </x:c>
      <x:c r="D5" s="28" t="str">
        <x:v>Sep-2026 market cap</x:v>
      </x:c>
      <x:c r="E5" s="29" t="n">
        <x:v>12.52</x:v>
      </x:c>
      <x:c r="F5" s="29" t="n">
        <x:v>12.52</x:v>
      </x:c>
      <x:c r="G5" s="29" t="n">
        <x:v>12.52</x:v>
      </x:c>
      <x:c r="H5" s="30" t="n">
        <x:v>0.51</x:v>
      </x:c>
      <x:c r="I5" s="31" t="n">
        <x:f>E5*H5</x:f>
        <x:v>6.3852</x:v>
      </x:c>
      <x:c r="J5" s="31" t="n">
        <x:f>F5*H5</x:f>
        <x:v>6.3852</x:v>
      </x:c>
      <x:c r="K5" s="31" t="n">
        <x:f>G5*H5</x:f>
        <x:v>6.3852</x:v>
      </x:c>
      <x:c r="L5" s="28" t="str">
        <x:v>Count parent once</x:v>
      </x:c>
      <x:c r="M5" s="28" t="str">
        <x:v>High</x:v>
      </x:c>
      <x:c r="N5" s="28" t="str">
        <x:v>https://companiesmarketcap.com/prada/marketcap/</x:v>
      </x:c>
    </x:row>
    <x:row r="6">
      <x:c r="A6" s="28" t="str">
        <x:v>Puig</x:v>
      </x:c>
      <x:c r="B6" s="28" t="str">
        <x:v>Jean Paul Gaultier, Dries Van Noten, Carolina Herrera, Nina Ricci, Rabanne</x:v>
      </x:c>
      <x:c r="C6" s="28" t="str">
        <x:v>Public parent</x:v>
      </x:c>
      <x:c r="D6" s="28" t="str">
        <x:v>Sep-2026 market cap</x:v>
      </x:c>
      <x:c r="E6" s="29" t="n">
        <x:v>11.7</x:v>
      </x:c>
      <x:c r="F6" s="29" t="n">
        <x:v>11.7</x:v>
      </x:c>
      <x:c r="G6" s="29" t="n">
        <x:v>11.7</x:v>
      </x:c>
      <x:c r="H6" s="30" t="n">
        <x:v>0.3</x:v>
      </x:c>
      <x:c r="I6" s="31" t="n">
        <x:f>E6*H6</x:f>
        <x:v>3.51</x:v>
      </x:c>
      <x:c r="J6" s="31" t="n">
        <x:f>F6*H6</x:f>
        <x:v>3.51</x:v>
      </x:c>
      <x:c r="K6" s="31" t="n">
        <x:f>G6*H6</x:f>
        <x:v>3.51</x:v>
      </x:c>
      <x:c r="L6" s="28" t="str">
        <x:v>Count parent once</x:v>
      </x:c>
      <x:c r="M6" s="28" t="str">
        <x:v>High</x:v>
      </x:c>
      <x:c r="N6" s="28" t="str">
        <x:v>https://companiesmarketcap.com/puig-brands/marketcap/</x:v>
      </x:c>
    </x:row>
    <x:row r="7">
      <x:c r="A7" s="28" t="str">
        <x:v>Tapestry</x:v>
      </x:c>
      <x:c r="B7" s="28" t="str">
        <x:v>Coach; source map also grouped Thom Browne</x:v>
      </x:c>
      <x:c r="C7" s="28" t="str">
        <x:v>Public parent</x:v>
      </x:c>
      <x:c r="D7" s="28" t="str">
        <x:v>Sep-2026 market cap</x:v>
      </x:c>
      <x:c r="E7" s="29" t="n">
        <x:v>22.67</x:v>
      </x:c>
      <x:c r="F7" s="29" t="n">
        <x:v>22.67</x:v>
      </x:c>
      <x:c r="G7" s="29" t="n">
        <x:v>22.67</x:v>
      </x:c>
      <x:c r="H7" s="30" t="n">
        <x:v>0.3</x:v>
      </x:c>
      <x:c r="I7" s="31" t="n">
        <x:f>E7*H7</x:f>
        <x:v>6.801</x:v>
      </x:c>
      <x:c r="J7" s="31" t="n">
        <x:f>F7*H7</x:f>
        <x:v>6.801</x:v>
      </x:c>
      <x:c r="K7" s="31" t="n">
        <x:f>G7*H7</x:f>
        <x:v>6.801</x:v>
      </x:c>
      <x:c r="L7" s="28" t="str">
        <x:v>Count parent once; source-map grouping needs canon audit</x:v>
      </x:c>
      <x:c r="M7" s="28" t="str">
        <x:v>High</x:v>
      </x:c>
      <x:c r="N7" s="28" t="str">
        <x:v>https://companiesmarketcap.com/tapestry/marketcap/</x:v>
      </x:c>
    </x:row>
    <x:row r="8">
      <x:c r="A8" s="28" t="str">
        <x:v>Capri Holdings</x:v>
      </x:c>
      <x:c r="B8" s="28" t="str">
        <x:v>Michael Kors, Jimmy Choo</x:v>
      </x:c>
      <x:c r="C8" s="28" t="str">
        <x:v>Public parent</x:v>
      </x:c>
      <x:c r="D8" s="28" t="str">
        <x:v>Sep-2026 market cap</x:v>
      </x:c>
      <x:c r="E8" s="29" t="n">
        <x:v>1.45</x:v>
      </x:c>
      <x:c r="F8" s="29" t="n">
        <x:v>1.45</x:v>
      </x:c>
      <x:c r="G8" s="29" t="n">
        <x:v>1.45</x:v>
      </x:c>
      <x:c r="H8" s="30" t="n">
        <x:v>0.3</x:v>
      </x:c>
      <x:c r="I8" s="31" t="n">
        <x:f>E8*H8</x:f>
        <x:v>0.435</x:v>
      </x:c>
      <x:c r="J8" s="31" t="n">
        <x:f>F8*H8</x:f>
        <x:v>0.435</x:v>
      </x:c>
      <x:c r="K8" s="31" t="n">
        <x:f>G8*H8</x:f>
        <x:v>0.435</x:v>
      </x:c>
      <x:c r="L8" s="28" t="str">
        <x:v>Count parent once; source-map grouping needs audit</x:v>
      </x:c>
      <x:c r="M8" s="28" t="str">
        <x:v>High</x:v>
      </x:c>
      <x:c r="N8" s="28" t="str">
        <x:v>https://companiesmarketcap.com/capri-holdings/marketcap/</x:v>
      </x:c>
    </x:row>
    <x:row r="9">
      <x:c r="A9" s="28" t="str">
        <x:v>PVH</x:v>
      </x:c>
      <x:c r="B9" s="28" t="str">
        <x:v>Tommy Hilfiger, Calvin Klein</x:v>
      </x:c>
      <x:c r="C9" s="28" t="str">
        <x:v>Public parent</x:v>
      </x:c>
      <x:c r="D9" s="28" t="str">
        <x:v>Working Sep-2026 market cap</x:v>
      </x:c>
      <x:c r="E9" s="29" t="n">
        <x:v>3.16</x:v>
      </x:c>
      <x:c r="F9" s="29" t="n">
        <x:v>3.16</x:v>
      </x:c>
      <x:c r="G9" s="29" t="n">
        <x:v>3.16</x:v>
      </x:c>
      <x:c r="H9" s="30" t="n">
        <x:v>0.3</x:v>
      </x:c>
      <x:c r="I9" s="31" t="n">
        <x:f>E9*H9</x:f>
        <x:v>0.948</x:v>
      </x:c>
      <x:c r="J9" s="31" t="n">
        <x:f>F9*H9</x:f>
        <x:v>0.948</x:v>
      </x:c>
      <x:c r="K9" s="31" t="n">
        <x:f>G9*H9</x:f>
        <x:v>0.948</x:v>
      </x:c>
      <x:c r="L9" s="28" t="str">
        <x:v>Count parent once</x:v>
      </x:c>
      <x:c r="M9" s="28" t="str">
        <x:v>Medium</x:v>
      </x:c>
      <x:c r="N9" s="28" t="str">
        <x:v>Working current-market input; refresh before canon lock</x:v>
      </x:c>
    </x:row>
    <x:row r="10">
      <x:c r="A10" s="28" t="str">
        <x:v>Estée Lauder</x:v>
      </x:c>
      <x:c r="B10" s="28" t="str">
        <x:v>Tom Ford Beauty, Le Labo, MALIN+GOETZ</x:v>
      </x:c>
      <x:c r="C10" s="28" t="str">
        <x:v>Public parent</x:v>
      </x:c>
      <x:c r="D10" s="28" t="str">
        <x:v>Sep-2026 market cap</x:v>
      </x:c>
      <x:c r="E10" s="29" t="n">
        <x:v>36.79</x:v>
      </x:c>
      <x:c r="F10" s="29" t="n">
        <x:v>36.79</x:v>
      </x:c>
      <x:c r="G10" s="29" t="n">
        <x:v>36.79</x:v>
      </x:c>
      <x:c r="H10" s="30" t="n">
        <x:v>0.51</x:v>
      </x:c>
      <x:c r="I10" s="31" t="n">
        <x:f>E10*H10</x:f>
        <x:v>18.7629</x:v>
      </x:c>
      <x:c r="J10" s="31" t="n">
        <x:f>F10*H10</x:f>
        <x:v>18.7629</x:v>
      </x:c>
      <x:c r="K10" s="31" t="n">
        <x:f>G10*H10</x:f>
        <x:v>18.7629</x:v>
      </x:c>
      <x:c r="L10" s="28" t="str">
        <x:v>Count parent once; Tom Ford fashion-side structure needs audit</x:v>
      </x:c>
      <x:c r="M10" s="28" t="str">
        <x:v>High</x:v>
      </x:c>
      <x:c r="N10" s="28" t="str">
        <x:v>https://companiesmarketcap.com/estee-lauder/marketcap/</x:v>
      </x:c>
    </x:row>
    <x:row r="11">
      <x:c r="A11" s="28" t="str">
        <x:v>Hermès</x:v>
      </x:c>
      <x:c r="B11" s="28" t="str">
        <x:v>Hermès</x:v>
      </x:c>
      <x:c r="C11" s="28" t="str">
        <x:v>Public independent</x:v>
      </x:c>
      <x:c r="D11" s="28" t="str">
        <x:v>Sep-2026 market cap</x:v>
      </x:c>
      <x:c r="E11" s="29" t="n">
        <x:v>171.82</x:v>
      </x:c>
      <x:c r="F11" s="29" t="n">
        <x:v>171.82</x:v>
      </x:c>
      <x:c r="G11" s="29" t="n">
        <x:v>171.82</x:v>
      </x:c>
      <x:c r="H11" s="30" t="n">
        <x:v>0.51</x:v>
      </x:c>
      <x:c r="I11" s="31" t="n">
        <x:f>E11*H11</x:f>
        <x:v>87.62819999999999</x:v>
      </x:c>
      <x:c r="J11" s="31" t="n">
        <x:f>F11*H11</x:f>
        <x:v>87.62819999999999</x:v>
      </x:c>
      <x:c r="K11" s="31" t="n">
        <x:f>G11*H11</x:f>
        <x:v>87.62819999999999</x:v>
      </x:c>
      <x:c r="L11" s="28" t="str">
        <x:v>Direct house stake</x:v>
      </x:c>
      <x:c r="M11" s="28" t="str">
        <x:v>High</x:v>
      </x:c>
      <x:c r="N11" s="28" t="str">
        <x:v>https://companiesmarketcap.com/hermes-international/marketcap/</x:v>
      </x:c>
    </x:row>
    <x:row r="12">
      <x:c r="A12" s="28" t="str">
        <x:v>Burberry</x:v>
      </x:c>
      <x:c r="B12" s="28" t="str">
        <x:v>Burberry</x:v>
      </x:c>
      <x:c r="C12" s="28" t="str">
        <x:v>Public independent</x:v>
      </x:c>
      <x:c r="D12" s="28" t="str">
        <x:v>Sep-2026 market cap</x:v>
      </x:c>
      <x:c r="E12" s="29" t="n">
        <x:v>5.02</x:v>
      </x:c>
      <x:c r="F12" s="29" t="n">
        <x:v>5.02</x:v>
      </x:c>
      <x:c r="G12" s="29" t="n">
        <x:v>5.02</x:v>
      </x:c>
      <x:c r="H12" s="30" t="n">
        <x:v>0.3</x:v>
      </x:c>
      <x:c r="I12" s="31" t="n">
        <x:f>E12*H12</x:f>
        <x:v>1.5059999999999998</x:v>
      </x:c>
      <x:c r="J12" s="31" t="n">
        <x:f>F12*H12</x:f>
        <x:v>1.5059999999999998</x:v>
      </x:c>
      <x:c r="K12" s="31" t="n">
        <x:f>G12*H12</x:f>
        <x:v>1.5059999999999998</x:v>
      </x:c>
      <x:c r="L12" s="28" t="str">
        <x:v>Direct house stake</x:v>
      </x:c>
      <x:c r="M12" s="28" t="str">
        <x:v>High</x:v>
      </x:c>
      <x:c r="N12" s="28" t="str">
        <x:v>https://companiesmarketcap.com/burberry/marketcap/</x:v>
      </x:c>
    </x:row>
    <x:row r="13">
      <x:c r="A13" s="28" t="str">
        <x:v>Moncler</x:v>
      </x:c>
      <x:c r="B13" s="28" t="str">
        <x:v>Moncler</x:v>
      </x:c>
      <x:c r="C13" s="28" t="str">
        <x:v>Public independent</x:v>
      </x:c>
      <x:c r="D13" s="28" t="str">
        <x:v>Sep-2026 market cap</x:v>
      </x:c>
      <x:c r="E13" s="29" t="n">
        <x:v>14.42</x:v>
      </x:c>
      <x:c r="F13" s="29" t="n">
        <x:v>14.42</x:v>
      </x:c>
      <x:c r="G13" s="29" t="n">
        <x:v>14.42</x:v>
      </x:c>
      <x:c r="H13" s="30" t="n">
        <x:v>0.3</x:v>
      </x:c>
      <x:c r="I13" s="31" t="n">
        <x:f>E13*H13</x:f>
        <x:v>4.326</x:v>
      </x:c>
      <x:c r="J13" s="31" t="n">
        <x:f>F13*H13</x:f>
        <x:v>4.326</x:v>
      </x:c>
      <x:c r="K13" s="31" t="n">
        <x:f>G13*H13</x:f>
        <x:v>4.326</x:v>
      </x:c>
      <x:c r="L13" s="28" t="str">
        <x:v>Direct house stake</x:v>
      </x:c>
      <x:c r="M13" s="28" t="str">
        <x:v>High</x:v>
      </x:c>
      <x:c r="N13" s="28" t="str">
        <x:v>https://companiesmarketcap.com/moncler/marketcap/</x:v>
      </x:c>
    </x:row>
    <x:row r="14">
      <x:c r="A14" s="28" t="str">
        <x:v>Ralph Lauren</x:v>
      </x:c>
      <x:c r="B14" s="28" t="str">
        <x:v>Ralph Lauren</x:v>
      </x:c>
      <x:c r="C14" s="28" t="str">
        <x:v>Public independent</x:v>
      </x:c>
      <x:c r="D14" s="28" t="str">
        <x:v>Sep-10-2026 market cap</x:v>
      </x:c>
      <x:c r="E14" s="29" t="n">
        <x:v>20.5</x:v>
      </x:c>
      <x:c r="F14" s="29" t="n">
        <x:v>20.5</x:v>
      </x:c>
      <x:c r="G14" s="29" t="n">
        <x:v>20.5</x:v>
      </x:c>
      <x:c r="H14" s="30" t="n">
        <x:v>0.3</x:v>
      </x:c>
      <x:c r="I14" s="31" t="n">
        <x:f>E14*H14</x:f>
        <x:v>6.1499999999999995</x:v>
      </x:c>
      <x:c r="J14" s="31" t="n">
        <x:f>F14*H14</x:f>
        <x:v>6.1499999999999995</x:v>
      </x:c>
      <x:c r="K14" s="31" t="n">
        <x:f>G14*H14</x:f>
        <x:v>6.1499999999999995</x:v>
      </x:c>
      <x:c r="L14" s="28" t="str">
        <x:v>Direct house stake</x:v>
      </x:c>
      <x:c r="M14" s="28" t="str">
        <x:v>High</x:v>
      </x:c>
      <x:c r="N14" s="28" t="str">
        <x:v>https://capital.com/en-int/markets/shares/ralph-lauren-share-price/market-cap</x:v>
      </x:c>
    </x:row>
    <x:row r="15">
      <x:c r="A15" s="28" t="str">
        <x:v>Ferragamo</x:v>
      </x:c>
      <x:c r="B15" s="28" t="str">
        <x:v>Salvatore Ferragamo</x:v>
      </x:c>
      <x:c r="C15" s="28" t="str">
        <x:v>Public independent</x:v>
      </x:c>
      <x:c r="D15" s="28" t="str">
        <x:v>Sep-2026 market cap</x:v>
      </x:c>
      <x:c r="E15" s="29" t="n">
        <x:v>1.64</x:v>
      </x:c>
      <x:c r="F15" s="29" t="n">
        <x:v>1.64</x:v>
      </x:c>
      <x:c r="G15" s="29" t="n">
        <x:v>1.64</x:v>
      </x:c>
      <x:c r="H15" s="30" t="n">
        <x:v>0.3</x:v>
      </x:c>
      <x:c r="I15" s="31" t="n">
        <x:f>E15*H15</x:f>
        <x:v>0.49199999999999994</x:v>
      </x:c>
      <x:c r="J15" s="31" t="n">
        <x:f>F15*H15</x:f>
        <x:v>0.49199999999999994</x:v>
      </x:c>
      <x:c r="K15" s="31" t="n">
        <x:f>G15*H15</x:f>
        <x:v>0.49199999999999994</x:v>
      </x:c>
      <x:c r="L15" s="28" t="str">
        <x:v>Direct house stake</x:v>
      </x:c>
      <x:c r="M15" s="28" t="str">
        <x:v>High</x:v>
      </x:c>
      <x:c r="N15" s="28" t="str">
        <x:v>https://companiesmarketcap.com/salvatore-ferragamo/marketcap/</x:v>
      </x:c>
    </x:row>
    <x:row r="16">
      <x:c r="A16" s="28" t="str">
        <x:v>Brunello Cucinelli</x:v>
      </x:c>
      <x:c r="B16" s="28" t="str">
        <x:v>Brunello Cucinelli</x:v>
      </x:c>
      <x:c r="C16" s="28" t="str">
        <x:v>Public independent</x:v>
      </x:c>
      <x:c r="D16" s="28" t="str">
        <x:v>Sep-2026 market cap</x:v>
      </x:c>
      <x:c r="E16" s="29" t="n">
        <x:v>6.21</x:v>
      </x:c>
      <x:c r="F16" s="29" t="n">
        <x:v>6.21</x:v>
      </x:c>
      <x:c r="G16" s="29" t="n">
        <x:v>6.21</x:v>
      </x:c>
      <x:c r="H16" s="30" t="n">
        <x:v>0.3</x:v>
      </x:c>
      <x:c r="I16" s="31" t="n">
        <x:f>E16*H16</x:f>
        <x:v>1.863</x:v>
      </x:c>
      <x:c r="J16" s="31" t="n">
        <x:f>F16*H16</x:f>
        <x:v>1.863</x:v>
      </x:c>
      <x:c r="K16" s="31" t="n">
        <x:f>G16*H16</x:f>
        <x:v>1.863</x:v>
      </x:c>
      <x:c r="L16" s="28" t="str">
        <x:v>Direct house stake</x:v>
      </x:c>
      <x:c r="M16" s="28" t="str">
        <x:v>High</x:v>
      </x:c>
      <x:c r="N16" s="28" t="str">
        <x:v>https://companiesmarketcap.com/brunello-cucinelli/marketcap/</x:v>
      </x:c>
    </x:row>
    <x:row r="17">
      <x:c r="A17" s="28" t="str">
        <x:v>Zegna Group</x:v>
      </x:c>
      <x:c r="B17" s="28" t="str">
        <x:v>Zegna; real-world parent of Thom Browne</x:v>
      </x:c>
      <x:c r="C17" s="28" t="str">
        <x:v>Public parent</x:v>
      </x:c>
      <x:c r="D17" s="28" t="str">
        <x:v>Sep-2026 market cap</x:v>
      </x:c>
      <x:c r="E17" s="29" t="n">
        <x:v>4.95</x:v>
      </x:c>
      <x:c r="F17" s="29" t="n">
        <x:v>4.95</x:v>
      </x:c>
      <x:c r="G17" s="29" t="n">
        <x:v>4.95</x:v>
      </x:c>
      <x:c r="H17" s="30" t="n">
        <x:v>0.3</x:v>
      </x:c>
      <x:c r="I17" s="31" t="n">
        <x:f>E17*H17</x:f>
        <x:v>1.485</x:v>
      </x:c>
      <x:c r="J17" s="31" t="n">
        <x:f>F17*H17</x:f>
        <x:v>1.485</x:v>
      </x:c>
      <x:c r="K17" s="31" t="n">
        <x:f>G17*H17</x:f>
        <x:v>1.485</x:v>
      </x:c>
      <x:c r="L17" s="28" t="str">
        <x:v>Use parent once; source-map Thom Browne placement requires reconciliation</x:v>
      </x:c>
      <x:c r="M17" s="28" t="str">
        <x:v>High</x:v>
      </x:c>
      <x:c r="N17" s="28" t="str">
        <x:v>https://companiesmarketcap.com/ermenegildo-zegna/marketcap/</x:v>
      </x:c>
    </x:row>
    <x:row r="18">
      <x:c r="A18" s="28" t="str">
        <x:v>Chanel</x:v>
      </x:c>
      <x:c r="B18" s="28" t="str">
        <x:v>Chanel</x:v>
      </x:c>
      <x:c r="C18" s="28" t="str">
        <x:v>Private independent</x:v>
      </x:c>
      <x:c r="D18" s="28" t="str">
        <x:v>2025 revenue/EBITDA + luxury multiple hypothesis</x:v>
      </x:c>
      <x:c r="E18" s="29" t="n">
        <x:v>45</x:v>
      </x:c>
      <x:c r="F18" s="29" t="n">
        <x:v>55</x:v>
      </x:c>
      <x:c r="G18" s="29" t="n">
        <x:v>70</x:v>
      </x:c>
      <x:c r="H18" s="30" t="n">
        <x:v>0.51</x:v>
      </x:c>
      <x:c r="I18" s="31" t="n">
        <x:f>E18*H18</x:f>
        <x:v>22.95</x:v>
      </x:c>
      <x:c r="J18" s="31" t="n">
        <x:f>F18*H18</x:f>
        <x:v>28.05</x:v>
      </x:c>
      <x:c r="K18" s="31" t="n">
        <x:f>G18*H18</x:f>
        <x:v>35.7</x:v>
      </x:c>
      <x:c r="L18" s="28" t="str">
        <x:v>Hypothesis range</x:v>
      </x:c>
      <x:c r="M18" s="28" t="str">
        <x:v>Medium</x:v>
      </x:c>
      <x:c r="N18" s="28" t="str">
        <x:v>https://www.chanel.com/puls-img/1779118002743-fy25-results-press-release-en-final.pdf</x:v>
      </x:c>
    </x:row>
    <x:row r="19">
      <x:c r="A19" s="28" t="str">
        <x:v>Armani</x:v>
      </x:c>
      <x:c r="B19" s="28" t="str">
        <x:v>Giorgio Armani</x:v>
      </x:c>
      <x:c r="C19" s="28" t="str">
        <x:v>Private independent</x:v>
      </x:c>
      <x:c r="D19" s="28" t="str">
        <x:v>Sep-2026 analyst valuation range</x:v>
      </x:c>
      <x:c r="E19" s="29" t="n">
        <x:v>5</x:v>
      </x:c>
      <x:c r="F19" s="29" t="n">
        <x:v>6</x:v>
      </x:c>
      <x:c r="G19" s="29" t="n">
        <x:v>7</x:v>
      </x:c>
      <x:c r="H19" s="30" t="n">
        <x:v>0.51</x:v>
      </x:c>
      <x:c r="I19" s="31" t="n">
        <x:f>E19*H19</x:f>
        <x:v>2.55</x:v>
      </x:c>
      <x:c r="J19" s="31" t="n">
        <x:f>F19*H19</x:f>
        <x:v>3.06</x:v>
      </x:c>
      <x:c r="K19" s="31" t="n">
        <x:f>G19*H19</x:f>
        <x:v>3.5700000000000003</x:v>
      </x:c>
      <x:c r="L19" s="28" t="str">
        <x:v>Direct house stake</x:v>
      </x:c>
      <x:c r="M19" s="28" t="str">
        <x:v>High</x:v>
      </x:c>
      <x:c r="N19" s="28" t="str">
        <x:v>https://www.reuters.com/business/retail-consumer/one-year-after-its-founders-death-armani-faces-challenge-inevitable-evolution-2026-09-04/</x:v>
      </x:c>
    </x:row>
    <x:row r="20">
      <x:c r="A20" s="28" t="str">
        <x:v>Valentino</x:v>
      </x:c>
      <x:c r="B20" s="28" t="str">
        <x:v>Valentino</x:v>
      </x:c>
      <x:c r="C20" s="28" t="str">
        <x:v>Private / strategic stake</x:v>
      </x:c>
      <x:c r="D20" s="28" t="str">
        <x:v>2023 30% sale for €1.7B; translated/bracketed</x:v>
      </x:c>
      <x:c r="E20" s="29" t="n">
        <x:v>5.5</x:v>
      </x:c>
      <x:c r="F20" s="29" t="n">
        <x:v>6.5</x:v>
      </x:c>
      <x:c r="G20" s="29" t="n">
        <x:v>7.5</x:v>
      </x:c>
      <x:c r="H20" s="30" t="n">
        <x:v>0.3</x:v>
      </x:c>
      <x:c r="I20" s="31" t="n">
        <x:f>E20*H20</x:f>
        <x:v>1.65</x:v>
      </x:c>
      <x:c r="J20" s="31" t="n">
        <x:f>F20*H20</x:f>
        <x:v>1.95</x:v>
      </x:c>
      <x:c r="K20" s="31" t="n">
        <x:f>G20*H20</x:f>
        <x:v>2.25</x:v>
      </x:c>
      <x:c r="L20" s="28" t="str">
        <x:v>Potential Kering overlap; exclude if Jim exposure exists only through Kering</x:v>
      </x:c>
      <x:c r="M20" s="28" t="str">
        <x:v>Medium</x:v>
      </x:c>
      <x:c r="N20" s="28" t="str">
        <x:v>https://www.kering.com/en/news/kering-and-mayhoola-announce-that-kering-becomes-a-significant-a-shareholder-of-valentino-as-part-of-a-broader-strategic-partnership/</x:v>
      </x:c>
    </x:row>
    <x:row r="21">
      <x:c r="A21" s="28" t="str">
        <x:v>Christian Louboutin</x:v>
      </x:c>
      <x:c r="B21" s="28" t="str">
        <x:v>Christian Louboutin</x:v>
      </x:c>
      <x:c r="C21" s="28" t="str">
        <x:v>Private independent</x:v>
      </x:c>
      <x:c r="D21" s="28" t="str">
        <x:v>2023 Exor mark ~$3.2B</x:v>
      </x:c>
      <x:c r="E21" s="29" t="n">
        <x:v>2.8</x:v>
      </x:c>
      <x:c r="F21" s="29" t="n">
        <x:v>3.2</x:v>
      </x:c>
      <x:c r="G21" s="29" t="n">
        <x:v>4</x:v>
      </x:c>
      <x:c r="H21" s="30" t="n">
        <x:v>0.3</x:v>
      </x:c>
      <x:c r="I21" s="31" t="n">
        <x:f>E21*H21</x:f>
        <x:v>0.84</x:v>
      </x:c>
      <x:c r="J21" s="31" t="n">
        <x:f>F21*H21</x:f>
        <x:v>0.96</x:v>
      </x:c>
      <x:c r="K21" s="31" t="n">
        <x:f>G21*H21</x:f>
        <x:v>1.2</x:v>
      </x:c>
      <x:c r="L21" s="28" t="str">
        <x:v>Acquisition vs Patronage status unresolved</x:v>
      </x:c>
      <x:c r="M21" s="28" t="str">
        <x:v>Medium-High</x:v>
      </x:c>
      <x:c r="N21" s="28" t="str">
        <x:v>https://www.forbes.com/sites/giacomotognini/2024/04/01/christian-louboutin-net-worth-billionaire-shoe-designer/</x:v>
      </x:c>
    </x:row>
    <x:row r="22">
      <x:c r="A22" s="28" t="str">
        <x:v>Dolce &amp; Gabbana</x:v>
      </x:c>
      <x:c r="B22" s="28" t="str">
        <x:v>Dolce &amp; Gabbana</x:v>
      </x:c>
      <x:c r="C22" s="28" t="str">
        <x:v>Private independent</x:v>
      </x:c>
      <x:c r="D22" s="28" t="str">
        <x:v>Working luxury-house hypothesis</x:v>
      </x:c>
      <x:c r="E22" s="29" t="n">
        <x:v>5</x:v>
      </x:c>
      <x:c r="F22" s="29" t="n">
        <x:v>7</x:v>
      </x:c>
      <x:c r="G22" s="29" t="n">
        <x:v>10</x:v>
      </x:c>
      <x:c r="H22" s="30" t="n">
        <x:v>0.3</x:v>
      </x:c>
      <x:c r="I22" s="31" t="n">
        <x:f>E22*H22</x:f>
        <x:v>1.5</x:v>
      </x:c>
      <x:c r="J22" s="31" t="n">
        <x:f>F22*H22</x:f>
        <x:v>2.1</x:v>
      </x:c>
      <x:c r="K22" s="31" t="n">
        <x:f>G22*H22</x:f>
        <x:v>3</x:v>
      </x:c>
      <x:c r="L22" s="28" t="str">
        <x:v>Explicit hypothesis</x:v>
      </x:c>
      <x:c r="M22" s="28" t="str">
        <x:v>Low-Medium</x:v>
      </x:c>
      <x:c r="N22" s="28" t="str">
        <x:v>Model hypothesis</x:v>
      </x:c>
    </x:row>
    <x:row r="23">
      <x:c r="A23" s="28" t="str">
        <x:v>Max Mara</x:v>
      </x:c>
      <x:c r="B23" s="28" t="str">
        <x:v>Max Mara</x:v>
      </x:c>
      <x:c r="C23" s="28" t="str">
        <x:v>Private independent</x:v>
      </x:c>
      <x:c r="D23" s="28" t="str">
        <x:v>Working luxury-house hypothesis</x:v>
      </x:c>
      <x:c r="E23" s="29" t="n">
        <x:v>4</x:v>
      </x:c>
      <x:c r="F23" s="29" t="n">
        <x:v>6</x:v>
      </x:c>
      <x:c r="G23" s="29" t="n">
        <x:v>8</x:v>
      </x:c>
      <x:c r="H23" s="30" t="n">
        <x:v>0.3</x:v>
      </x:c>
      <x:c r="I23" s="31" t="n">
        <x:f>E23*H23</x:f>
        <x:v>1.2</x:v>
      </x:c>
      <x:c r="J23" s="31" t="n">
        <x:f>F23*H23</x:f>
        <x:v>1.7999999999999998</x:v>
      </x:c>
      <x:c r="K23" s="31" t="n">
        <x:f>G23*H23</x:f>
        <x:v>2.4</x:v>
      </x:c>
      <x:c r="L23" s="28" t="str">
        <x:v>Explicit hypothesis</x:v>
      </x:c>
      <x:c r="M23" s="28" t="str">
        <x:v>Low-Medium</x:v>
      </x:c>
      <x:c r="N23" s="28" t="str">
        <x:v>Model hypothesis</x:v>
      </x:c>
    </x:row>
    <x:row r="24">
      <x:c r="A24" s="28" t="str">
        <x:v>Goyard</x:v>
      </x:c>
      <x:c r="B24" s="28" t="str">
        <x:v>Goyard</x:v>
      </x:c>
      <x:c r="C24" s="28" t="str">
        <x:v>Private independent</x:v>
      </x:c>
      <x:c r="D24" s="28" t="str">
        <x:v>Scarcity / brand-strength hypothesis</x:v>
      </x:c>
      <x:c r="E24" s="29" t="n">
        <x:v>2</x:v>
      </x:c>
      <x:c r="F24" s="29" t="n">
        <x:v>3.5</x:v>
      </x:c>
      <x:c r="G24" s="29" t="n">
        <x:v>5</x:v>
      </x:c>
      <x:c r="H24" s="30" t="n">
        <x:v>0.3</x:v>
      </x:c>
      <x:c r="I24" s="31" t="n">
        <x:f>E24*H24</x:f>
        <x:v>0.6</x:v>
      </x:c>
      <x:c r="J24" s="31" t="n">
        <x:f>F24*H24</x:f>
        <x:v>1.05</x:v>
      </x:c>
      <x:c r="K24" s="31" t="n">
        <x:f>G24*H24</x:f>
        <x:v>1.5</x:v>
      </x:c>
      <x:c r="L24" s="28" t="str">
        <x:v>Likely Patronage/purist candidate</x:v>
      </x:c>
      <x:c r="M24" s="28" t="str">
        <x:v>Low</x:v>
      </x:c>
      <x:c r="N24" s="28" t="str">
        <x:v>Model hypothesis</x:v>
      </x:c>
    </x:row>
    <x:row r="25">
      <x:c r="A25" s="28" t="str">
        <x:v>Manolo Blahnik</x:v>
      </x:c>
      <x:c r="B25" s="28" t="str">
        <x:v>Manolo Blahnik</x:v>
      </x:c>
      <x:c r="C25" s="28" t="str">
        <x:v>Private independent</x:v>
      </x:c>
      <x:c r="D25" s="28" t="str">
        <x:v>Luxury footwear hypothesis</x:v>
      </x:c>
      <x:c r="E25" s="29" t="n">
        <x:v>0.8</x:v>
      </x:c>
      <x:c r="F25" s="29" t="n">
        <x:v>1.2</x:v>
      </x:c>
      <x:c r="G25" s="29" t="n">
        <x:v>1.8</x:v>
      </x:c>
      <x:c r="H25" s="30" t="n">
        <x:v>0.3</x:v>
      </x:c>
      <x:c r="I25" s="31" t="n">
        <x:f>E25*H25</x:f>
        <x:v>0.24</x:v>
      </x:c>
      <x:c r="J25" s="31" t="n">
        <x:f>F25*H25</x:f>
        <x:v>0.36</x:v>
      </x:c>
      <x:c r="K25" s="31" t="n">
        <x:f>G25*H25</x:f>
        <x:v>0.54</x:v>
      </x:c>
      <x:c r="L25" s="28" t="str">
        <x:v>Patronage-plan named house; likely not controlling acquisition</x:v>
      </x:c>
      <x:c r="M25" s="28" t="str">
        <x:v>Low-Medium</x:v>
      </x:c>
      <x:c r="N25" s="28" t="str">
        <x:v>Model hypothesis</x:v>
      </x:c>
    </x:row>
    <x:row r="26">
      <x:c r="A26" s="28" t="str">
        <x:v>Rick Owens</x:v>
      </x:c>
      <x:c r="B26" s="28" t="str">
        <x:v>Rick Owens</x:v>
      </x:c>
      <x:c r="C26" s="28" t="str">
        <x:v>Private independent</x:v>
      </x:c>
      <x:c r="D26" s="28" t="str">
        <x:v>Designer-house hypothesis</x:v>
      </x:c>
      <x:c r="E26" s="29" t="n">
        <x:v>0.6</x:v>
      </x:c>
      <x:c r="F26" s="29" t="n">
        <x:v>1</x:v>
      </x:c>
      <x:c r="G26" s="29" t="n">
        <x:v>1.5</x:v>
      </x:c>
      <x:c r="H26" s="30" t="n">
        <x:v>0.3</x:v>
      </x:c>
      <x:c r="I26" s="31" t="n">
        <x:f>E26*H26</x:f>
        <x:v>0.18</x:v>
      </x:c>
      <x:c r="J26" s="31" t="n">
        <x:f>F26*H26</x:f>
        <x:v>0.3</x:v>
      </x:c>
      <x:c r="K26" s="31" t="n">
        <x:f>G26*H26</x:f>
        <x:v>0.44999999999999996</x:v>
      </x:c>
      <x:c r="L26" s="28" t="str">
        <x:v>Patronage-plan named house</x:v>
      </x:c>
      <x:c r="M26" s="28" t="str">
        <x:v>Low-Medium</x:v>
      </x:c>
      <x:c r="N26" s="28" t="str">
        <x:v>Model hypothesis</x:v>
      </x:c>
    </x:row>
    <x:row r="27">
      <x:c r="A27" s="28" t="str">
        <x:v>Comme des Garçons</x:v>
      </x:c>
      <x:c r="B27" s="28" t="str">
        <x:v>Comme des Garçons</x:v>
      </x:c>
      <x:c r="C27" s="28" t="str">
        <x:v>Private independent</x:v>
      </x:c>
      <x:c r="D27" s="28" t="str">
        <x:v>Designer-group hypothesis</x:v>
      </x:c>
      <x:c r="E27" s="29" t="n">
        <x:v>1.5</x:v>
      </x:c>
      <x:c r="F27" s="29" t="n">
        <x:v>2.5</x:v>
      </x:c>
      <x:c r="G27" s="29" t="n">
        <x:v>4</x:v>
      </x:c>
      <x:c r="H27" s="30" t="n">
        <x:v>0.3</x:v>
      </x:c>
      <x:c r="I27" s="31" t="n">
        <x:f>E27*H27</x:f>
        <x:v>0.44999999999999996</x:v>
      </x:c>
      <x:c r="J27" s="31" t="n">
        <x:f>F27*H27</x:f>
        <x:v>0.75</x:v>
      </x:c>
      <x:c r="K27" s="31" t="n">
        <x:f>G27*H27</x:f>
        <x:v>1.2</x:v>
      </x:c>
      <x:c r="L27" s="28" t="str">
        <x:v>Patronage-plan named house</x:v>
      </x:c>
      <x:c r="M27" s="28" t="str">
        <x:v>Low-Medium</x:v>
      </x:c>
      <x:c r="N27" s="28" t="str">
        <x:v>Model hypothesis</x:v>
      </x:c>
    </x:row>
    <x:row r="28">
      <x:c r="A28" s="28" t="str">
        <x:v>Kiton</x:v>
      </x:c>
      <x:c r="B28" s="28" t="str">
        <x:v>Kiton</x:v>
      </x:c>
      <x:c r="C28" s="28" t="str">
        <x:v>Private independent</x:v>
      </x:c>
      <x:c r="D28" s="28" t="str">
        <x:v>Luxury tailoring hypothesis</x:v>
      </x:c>
      <x:c r="E28" s="29" t="n">
        <x:v>0.7</x:v>
      </x:c>
      <x:c r="F28" s="29" t="n">
        <x:v>1.1</x:v>
      </x:c>
      <x:c r="G28" s="29" t="n">
        <x:v>1.6</x:v>
      </x:c>
      <x:c r="H28" s="30" t="n">
        <x:v>0.3</x:v>
      </x:c>
      <x:c r="I28" s="31" t="n">
        <x:f>E28*H28</x:f>
        <x:v>0.21</x:v>
      </x:c>
      <x:c r="J28" s="31" t="n">
        <x:f>F28*H28</x:f>
        <x:v>0.33</x:v>
      </x:c>
      <x:c r="K28" s="31" t="n">
        <x:f>G28*H28</x:f>
        <x:v>0.48</x:v>
      </x:c>
      <x:c r="L28" s="28" t="str">
        <x:v>Patronage-plan named house</x:v>
      </x:c>
      <x:c r="M28" s="28" t="str">
        <x:v>Low-Medium</x:v>
      </x:c>
      <x:c r="N28" s="28" t="str">
        <x:v>Model hypothesis</x:v>
      </x:c>
    </x:row>
    <x:row r="29">
      <x:c r="A29" s="28" t="str">
        <x:v>Missoni</x:v>
      </x:c>
      <x:c r="B29" s="28" t="str">
        <x:v>Missoni</x:v>
      </x:c>
      <x:c r="C29" s="28" t="str">
        <x:v>Private independent</x:v>
      </x:c>
      <x:c r="D29" s="28" t="str">
        <x:v>Working house hypothesis</x:v>
      </x:c>
      <x:c r="E29" s="29" t="n">
        <x:v>0.6</x:v>
      </x:c>
      <x:c r="F29" s="29" t="n">
        <x:v>1</x:v>
      </x:c>
      <x:c r="G29" s="29" t="n">
        <x:v>1.5</x:v>
      </x:c>
      <x:c r="H29" s="30" t="n">
        <x:v>0.3</x:v>
      </x:c>
      <x:c r="I29" s="31" t="n">
        <x:f>E29*H29</x:f>
        <x:v>0.18</x:v>
      </x:c>
      <x:c r="J29" s="31" t="n">
        <x:f>F29*H29</x:f>
        <x:v>0.3</x:v>
      </x:c>
      <x:c r="K29" s="31" t="n">
        <x:f>G29*H29</x:f>
        <x:v>0.44999999999999996</x:v>
      </x:c>
      <x:c r="L29" s="28" t="str">
        <x:v>Status unresolved</x:v>
      </x:c>
      <x:c r="M29" s="28" t="str">
        <x:v>Low</x:v>
      </x:c>
      <x:c r="N29" s="28" t="str">
        <x:v>Model hypothesis</x:v>
      </x:c>
    </x:row>
    <x:row r="30">
      <x:c r="A30" s="28" t="str">
        <x:v>Etro</x:v>
      </x:c>
      <x:c r="B30" s="28" t="str">
        <x:v>Etro</x:v>
      </x:c>
      <x:c r="C30" s="28" t="str">
        <x:v>Private / PE-backed</x:v>
      </x:c>
      <x:c r="D30" s="28" t="str">
        <x:v>Working house hypothesis</x:v>
      </x:c>
      <x:c r="E30" s="29" t="n">
        <x:v>0.7</x:v>
      </x:c>
      <x:c r="F30" s="29" t="n">
        <x:v>1.1</x:v>
      </x:c>
      <x:c r="G30" s="29" t="n">
        <x:v>1.7</x:v>
      </x:c>
      <x:c r="H30" s="30" t="n">
        <x:v>0.3</x:v>
      </x:c>
      <x:c r="I30" s="31" t="n">
        <x:f>E30*H30</x:f>
        <x:v>0.21</x:v>
      </x:c>
      <x:c r="J30" s="31" t="n">
        <x:f>F30*H30</x:f>
        <x:v>0.33</x:v>
      </x:c>
      <x:c r="K30" s="31" t="n">
        <x:f>G30*H30</x:f>
        <x:v>0.51</x:v>
      </x:c>
      <x:c r="L30" s="28" t="str">
        <x:v>Status unresolved</x:v>
      </x:c>
      <x:c r="M30" s="28" t="str">
        <x:v>Low</x:v>
      </x:c>
      <x:c r="N30" s="28" t="str">
        <x:v>Model hypothesis</x:v>
      </x:c>
    </x:row>
    <x:row r="31">
      <x:c r="A31" s="28" t="str">
        <x:v>Tory Burch</x:v>
      </x:c>
      <x:c r="B31" s="28" t="str">
        <x:v>Tory Burch</x:v>
      </x:c>
      <x:c r="C31" s="28" t="str">
        <x:v>Private independent</x:v>
      </x:c>
      <x:c r="D31" s="28" t="str">
        <x:v>Scaled private fashion hypothesis</x:v>
      </x:c>
      <x:c r="E31" s="29" t="n">
        <x:v>2.5</x:v>
      </x:c>
      <x:c r="F31" s="29" t="n">
        <x:v>4</x:v>
      </x:c>
      <x:c r="G31" s="29" t="n">
        <x:v>6</x:v>
      </x:c>
      <x:c r="H31" s="30" t="n">
        <x:v>0.3</x:v>
      </x:c>
      <x:c r="I31" s="31" t="n">
        <x:f>E31*H31</x:f>
        <x:v>0.75</x:v>
      </x:c>
      <x:c r="J31" s="31" t="n">
        <x:f>F31*H31</x:f>
        <x:v>1.2</x:v>
      </x:c>
      <x:c r="K31" s="31" t="n">
        <x:f>G31*H31</x:f>
        <x:v>1.7999999999999998</x:v>
      </x:c>
      <x:c r="L31" s="28" t="str">
        <x:v>Status unresolved</x:v>
      </x:c>
      <x:c r="M31" s="28" t="str">
        <x:v>Low-Medium</x:v>
      </x:c>
      <x:c r="N31" s="28" t="str">
        <x:v>Model hypothesis</x:v>
      </x:c>
    </x:row>
    <x:row r="32">
      <x:c r="A32" s="28" t="str">
        <x:v>Vera Wang</x:v>
      </x:c>
      <x:c r="B32" s="28" t="str">
        <x:v>Vera Wang</x:v>
      </x:c>
      <x:c r="C32" s="28" t="str">
        <x:v>Private independent</x:v>
      </x:c>
      <x:c r="D32" s="28" t="str">
        <x:v>Brand/licensing-heavy hypothesis</x:v>
      </x:c>
      <x:c r="E32" s="29" t="n">
        <x:v>0.5</x:v>
      </x:c>
      <x:c r="F32" s="29" t="n">
        <x:v>0.9</x:v>
      </x:c>
      <x:c r="G32" s="29" t="n">
        <x:v>1.4</x:v>
      </x:c>
      <x:c r="H32" s="30" t="n">
        <x:v>0.3</x:v>
      </x:c>
      <x:c r="I32" s="31" t="n">
        <x:f>E32*H32</x:f>
        <x:v>0.15</x:v>
      </x:c>
      <x:c r="J32" s="31" t="n">
        <x:f>F32*H32</x:f>
        <x:v>0.27</x:v>
      </x:c>
      <x:c r="K32" s="31" t="n">
        <x:f>G32*H32</x:f>
        <x:v>0.42</x:v>
      </x:c>
      <x:c r="L32" s="28" t="str">
        <x:v>Status unresolved</x:v>
      </x:c>
      <x:c r="M32" s="28" t="str">
        <x:v>Low</x:v>
      </x:c>
      <x:c r="N32" s="28" t="str">
        <x:v>Model hypothesis</x:v>
      </x:c>
    </x:row>
    <x:row r="33">
      <x:c r="A33" s="28" t="str">
        <x:v>Jacquemus</x:v>
      </x:c>
      <x:c r="B33" s="28" t="str">
        <x:v>Jacquemus</x:v>
      </x:c>
      <x:c r="C33" s="28" t="str">
        <x:v>Private independent</x:v>
      </x:c>
      <x:c r="D33" s="28" t="str">
        <x:v>High-growth designer-house hypothesis</x:v>
      </x:c>
      <x:c r="E33" s="29" t="n">
        <x:v>1</x:v>
      </x:c>
      <x:c r="F33" s="29" t="n">
        <x:v>1.8</x:v>
      </x:c>
      <x:c r="G33" s="29" t="n">
        <x:v>3</x:v>
      </x:c>
      <x:c r="H33" s="30" t="n">
        <x:v>0.3</x:v>
      </x:c>
      <x:c r="I33" s="31" t="n">
        <x:f>E33*H33</x:f>
        <x:v>0.3</x:v>
      </x:c>
      <x:c r="J33" s="31" t="n">
        <x:f>F33*H33</x:f>
        <x:v>0.54</x:v>
      </x:c>
      <x:c r="K33" s="31" t="n">
        <x:f>G33*H33</x:f>
        <x:v>0.8999999999999999</x:v>
      </x:c>
      <x:c r="L33" s="28" t="str">
        <x:v>Status unresolved</x:v>
      </x:c>
      <x:c r="M33" s="28" t="str">
        <x:v>Low-Medium</x:v>
      </x:c>
      <x:c r="N33" s="28" t="str">
        <x:v>Model hypothesis</x:v>
      </x:c>
    </x:row>
    <x:row r="34">
      <x:c r="A34" s="28" t="str">
        <x:v>Balmain</x:v>
      </x:c>
      <x:c r="B34" s="28" t="str">
        <x:v>Balmain</x:v>
      </x:c>
      <x:c r="C34" s="28" t="str">
        <x:v>Private independent</x:v>
      </x:c>
      <x:c r="D34" s="28" t="str">
        <x:v>Luxury-house hypothesis</x:v>
      </x:c>
      <x:c r="E34" s="29" t="n">
        <x:v>1.2</x:v>
      </x:c>
      <x:c r="F34" s="29" t="n">
        <x:v>2</x:v>
      </x:c>
      <x:c r="G34" s="29" t="n">
        <x:v>3.2</x:v>
      </x:c>
      <x:c r="H34" s="30" t="n">
        <x:v>0.3</x:v>
      </x:c>
      <x:c r="I34" s="31" t="n">
        <x:f>E34*H34</x:f>
        <x:v>0.36</x:v>
      </x:c>
      <x:c r="J34" s="31" t="n">
        <x:f>F34*H34</x:f>
        <x:v>0.6</x:v>
      </x:c>
      <x:c r="K34" s="31" t="n">
        <x:f>G34*H34</x:f>
        <x:v>0.96</x:v>
      </x:c>
      <x:c r="L34" s="28" t="str">
        <x:v>Status unresolved</x:v>
      </x:c>
      <x:c r="M34" s="28" t="str">
        <x:v>Low-Medium</x:v>
      </x:c>
      <x:c r="N34" s="28" t="str">
        <x:v>Model hypothesis</x:v>
      </x:c>
    </x:row>
    <x:row r="35">
      <x:c r="A35" s="28" t="str">
        <x:v>Stella McCartney</x:v>
      </x:c>
      <x:c r="B35" s="28" t="str">
        <x:v>Stella McCartney</x:v>
      </x:c>
      <x:c r="C35" s="28" t="str">
        <x:v>Private independent</x:v>
      </x:c>
      <x:c r="D35" s="28" t="str">
        <x:v>Designer-house hypothesis</x:v>
      </x:c>
      <x:c r="E35" s="29" t="n">
        <x:v>0.5</x:v>
      </x:c>
      <x:c r="F35" s="29" t="n">
        <x:v>0.9</x:v>
      </x:c>
      <x:c r="G35" s="29" t="n">
        <x:v>1.5</x:v>
      </x:c>
      <x:c r="H35" s="30" t="n">
        <x:v>0</x:v>
      </x:c>
      <x:c r="I35" s="31" t="n">
        <x:f>E35*H35</x:f>
        <x:v>0</x:v>
      </x:c>
      <x:c r="J35" s="31" t="n">
        <x:f>F35*H35</x:f>
        <x:v>0</x:v>
      </x:c>
      <x:c r="K35" s="31" t="n">
        <x:f>G35*H35</x:f>
        <x:v>0</x:v>
      </x:c>
      <x:c r="L35" s="28" t="str">
        <x:v>SUPERSEDED by explicit final-use rows below; retained for audit trail, excluded from totals</x:v>
      </x:c>
      <x:c r="M35" s="28" t="str">
        <x:v>Low</x:v>
      </x:c>
      <x:c r="N35" s="28" t="str">
        <x:v>Model hypothesis</x:v>
      </x:c>
    </x:row>
    <x:row r="36">
      <x:c r="A36" s="28" t="str">
        <x:v>Independent long-tail basket</x:v>
      </x:c>
      <x:c r="B36" s="28" t="str">
        <x:v>Schiaparelli, Paul Smith, Ann Demeulemeester, Yohji Yamamoto, Issey Miyake, Proenza Schouler, Rodarte, Jason Wu, Erdem, Simone Rocha, JW Anderson, Roksanda, Mary Katrantzou, Christopher Kane, Emilia Wickstead, Rejina Pyo, Casablanca, Marine Serre, Coperni, Cavalli + others</x:v>
      </x:c>
      <x:c r="C36" s="28" t="str">
        <x:v>Private basket</x:v>
      </x:c>
      <x:c r="D36" s="28" t="str">
        <x:v>Aggregate hypothesis pending row-by-row research</x:v>
      </x:c>
      <x:c r="E36" s="29" t="n">
        <x:v>12</x:v>
      </x:c>
      <x:c r="F36" s="29" t="n">
        <x:v>20</x:v>
      </x:c>
      <x:c r="G36" s="29" t="n">
        <x:v>32</x:v>
      </x:c>
      <x:c r="H36" s="30" t="n">
        <x:v>0</x:v>
      </x:c>
      <x:c r="I36" s="31" t="n">
        <x:f>E36*H36</x:f>
        <x:v>0</x:v>
      </x:c>
      <x:c r="J36" s="31" t="n">
        <x:f>F36*H36</x:f>
        <x:v>0</x:v>
      </x:c>
      <x:c r="K36" s="31" t="n">
        <x:f>G36*H36</x:f>
        <x:v>0</x:v>
      </x:c>
      <x:c r="L36" s="28" t="str">
        <x:v>SUPERSEDED by explicit final-use rows below; retained for audit trail, excluded from totals</x:v>
      </x:c>
      <x:c r="M36" s="28" t="str">
        <x:v>Low</x:v>
      </x:c>
      <x:c r="N36" s="28" t="str">
        <x:v>Model hypothesis based on Jim source-map roster</x:v>
      </x:c>
    </x:row>
    <x:row r="37">
      <x:c r="A37" s="28" t="str">
        <x:v>Professional salon supply networks</x:v>
      </x:c>
      <x:c r="B37" s="28" t="str">
        <x:v>SalonCentric / CosmoProf / Marlo / Qosmedix / Paramount Beauty as mapped</x:v>
      </x:c>
      <x:c r="C37" s="28" t="str">
        <x:v>Mixed support assets</x:v>
      </x:c>
      <x:c r="D37" s="28" t="str">
        <x:v>Aggregate infrastructure hypothesis</x:v>
      </x:c>
      <x:c r="E37" s="29" t="n">
        <x:v>4</x:v>
      </x:c>
      <x:c r="F37" s="29" t="n">
        <x:v>7</x:v>
      </x:c>
      <x:c r="G37" s="29" t="n">
        <x:v>11</x:v>
      </x:c>
      <x:c r="H37" s="30" t="n">
        <x:v>0</x:v>
      </x:c>
      <x:c r="I37" s="31" t="n">
        <x:f>E37*H37</x:f>
        <x:v>0</x:v>
      </x:c>
      <x:c r="J37" s="31" t="n">
        <x:f>F37*H37</x:f>
        <x:v>0</x:v>
      </x:c>
      <x:c r="K37" s="31" t="n">
        <x:f>G37*H37</x:f>
        <x:v>0</x:v>
      </x:c>
      <x:c r="L37" s="28" t="str">
        <x:v>SUPERSEDED by explicit final-use rows below; retained for audit trail, excluded from totals</x:v>
      </x:c>
      <x:c r="M37" s="28" t="str">
        <x:v>Low</x:v>
      </x:c>
      <x:c r="N37" s="28" t="str">
        <x:v>Model hypothesis</x:v>
      </x:c>
    </x:row>
    <x:row r="38">
      <x:c r="A38" s="28" t="str">
        <x:v>Logistics &amp; secure freight</x:v>
      </x:c>
      <x:c r="B38" s="28" t="str">
        <x:v>Bleckmann + Crown Logistics as mapped</x:v>
      </x:c>
      <x:c r="C38" s="28" t="str">
        <x:v>Private infrastructure</x:v>
      </x:c>
      <x:c r="D38" s="28" t="str">
        <x:v>Aggregate hypothesis</x:v>
      </x:c>
      <x:c r="E38" s="29" t="n">
        <x:v>3</x:v>
      </x:c>
      <x:c r="F38" s="29" t="n">
        <x:v>5</x:v>
      </x:c>
      <x:c r="G38" s="29" t="n">
        <x:v>8</x:v>
      </x:c>
      <x:c r="H38" s="30" t="n">
        <x:v>0</x:v>
      </x:c>
      <x:c r="I38" s="31" t="n">
        <x:f>E38*H38</x:f>
        <x:v>0</x:v>
      </x:c>
      <x:c r="J38" s="31" t="n">
        <x:f>F38*H38</x:f>
        <x:v>0</x:v>
      </x:c>
      <x:c r="K38" s="31" t="n">
        <x:f>G38*H38</x:f>
        <x:v>0</x:v>
      </x:c>
      <x:c r="L38" s="28" t="str">
        <x:v>SUPERSEDED by explicit final-use rows below; retained for audit trail, excluded from totals</x:v>
      </x:c>
      <x:c r="M38" s="28" t="str">
        <x:v>Low-Medium</x:v>
      </x:c>
      <x:c r="N38" s="28" t="str">
        <x:v>Model hypothesis</x:v>
      </x:c>
    </x:row>
    <x:row r="39">
      <x:c r="A39" s="28" t="str">
        <x:v>Como silk / artisanal infrastructure</x:v>
      </x:c>
      <x:c r="B39" s="28" t="str">
        <x:v>Como silk weaving cooperatives / mills</x:v>
      </x:c>
      <x:c r="C39" s="28" t="str">
        <x:v>Private infrastructure</x:v>
      </x:c>
      <x:c r="D39" s="28" t="str">
        <x:v>Aggregate hypothesis</x:v>
      </x:c>
      <x:c r="E39" s="29" t="n">
        <x:v>1.5</x:v>
      </x:c>
      <x:c r="F39" s="29" t="n">
        <x:v>3</x:v>
      </x:c>
      <x:c r="G39" s="29" t="n">
        <x:v>5</x:v>
      </x:c>
      <x:c r="H39" s="30" t="n">
        <x:v>0.75</x:v>
      </x:c>
      <x:c r="I39" s="31" t="n">
        <x:f>E39*H39</x:f>
        <x:v>1.125</x:v>
      </x:c>
      <x:c r="J39" s="31" t="n">
        <x:f>F39*H39</x:f>
        <x:v>2.25</x:v>
      </x:c>
      <x:c r="K39" s="31" t="n">
        <x:f>G39*H39</x:f>
        <x:v>3.75</x:v>
      </x:c>
      <x:c r="L39" s="28" t="str">
        <x:v>Later Patronage infrastructure may overlap</x:v>
      </x:c>
      <x:c r="M39" s="28" t="str">
        <x:v>Low</x:v>
      </x:c>
      <x:c r="N39" s="28" t="str">
        <x:v>Model hypothesis</x:v>
      </x:c>
    </x:row>
    <x:row r="40">
      <x:c r="A40" s="28" t="str">
        <x:v>OTB Group</x:v>
      </x:c>
      <x:c r="B40" s="28" t="str">
        <x:v>Maison Margiela, Jil Sander, Marni, Viktor &amp; Rolf</x:v>
      </x:c>
      <x:c r="C40" s="28" t="str">
        <x:v>Private parent</x:v>
      </x:c>
      <x:c r="D40" s="28" t="str">
        <x:v>Source-document holding range</x:v>
      </x:c>
      <x:c r="E40" s="47" t="n">
        <x:v>3</x:v>
      </x:c>
      <x:c r="F40" s="47" t="n">
        <x:v>4</x:v>
      </x:c>
      <x:c r="G40" s="47" t="n">
        <x:v>5</x:v>
      </x:c>
      <x:c r="H40" s="30" t="n">
        <x:v>0.3</x:v>
      </x:c>
      <x:c r="I40" s="48" t="n">
        <x:f>E40*H40</x:f>
        <x:v>0.8999999999999999</x:v>
      </x:c>
      <x:c r="J40" s="48" t="n">
        <x:f>F40*H40</x:f>
        <x:v>1.2</x:v>
      </x:c>
      <x:c r="K40" s="48" t="n">
        <x:f>G40*H40</x:f>
        <x:v>1.5</x:v>
      </x:c>
      <x:c r="L40" s="28" t="str">
        <x:v>NEW explicit parent from final-use source; count parent once</x:v>
      </x:c>
      <x:c r="M40" s="28" t="str">
        <x:v>Medium</x:v>
      </x:c>
      <x:c r="N40" s="28" t="str">
        <x:v>User source: the fashion empire final use this.docx</x:v>
      </x:c>
    </x:row>
    <x:row r="41">
      <x:c r="A41" s="28" t="str">
        <x:v>Off-White</x:v>
      </x:c>
      <x:c r="B41" s="28" t="str">
        <x:v>Off-White</x:v>
      </x:c>
      <x:c r="C41" s="28" t="str">
        <x:v>Private independent</x:v>
      </x:c>
      <x:c r="D41" s="28" t="str">
        <x:v>Source-document hypothesis</x:v>
      </x:c>
      <x:c r="E41" s="47" t="n">
        <x:v>0.3</x:v>
      </x:c>
      <x:c r="F41" s="47" t="n">
        <x:v>0.3</x:v>
      </x:c>
      <x:c r="G41" s="47" t="n">
        <x:v>0.3</x:v>
      </x:c>
      <x:c r="H41" s="30" t="n">
        <x:v>0.3</x:v>
      </x:c>
      <x:c r="I41" s="48" t="n">
        <x:f>E41*H41</x:f>
        <x:v>0.09</x:v>
      </x:c>
      <x:c r="J41" s="48" t="n">
        <x:f>F41*H41</x:f>
        <x:v>0.09</x:v>
      </x:c>
      <x:c r="K41" s="48" t="n">
        <x:f>G41*H41</x:f>
        <x:v>0.09</x:v>
      </x:c>
      <x:c r="L41" s="28" t="str">
        <x:v>NEW explicit independent asset</x:v>
      </x:c>
      <x:c r="M41" s="28" t="str">
        <x:v>Low-Medium</x:v>
      </x:c>
      <x:c r="N41" s="28" t="str">
        <x:v>User source hypothesis</x:v>
      </x:c>
    </x:row>
    <x:row r="42">
      <x:c r="A42" s="28" t="str">
        <x:v>Vivienne Westwood</x:v>
      </x:c>
      <x:c r="B42" s="28" t="str">
        <x:v>Vivienne Westwood</x:v>
      </x:c>
      <x:c r="C42" s="28" t="str">
        <x:v>Private independent</x:v>
      </x:c>
      <x:c r="D42" s="28" t="str">
        <x:v>Source-document hypothesis</x:v>
      </x:c>
      <x:c r="E42" s="47" t="n">
        <x:v>0.3</x:v>
      </x:c>
      <x:c r="F42" s="47" t="n">
        <x:v>0.3</x:v>
      </x:c>
      <x:c r="G42" s="47" t="n">
        <x:v>0.3</x:v>
      </x:c>
      <x:c r="H42" s="30" t="n">
        <x:v>0.3</x:v>
      </x:c>
      <x:c r="I42" s="48" t="n">
        <x:f>E42*H42</x:f>
        <x:v>0.09</x:v>
      </x:c>
      <x:c r="J42" s="48" t="n">
        <x:f>F42*H42</x:f>
        <x:v>0.09</x:v>
      </x:c>
      <x:c r="K42" s="48" t="n">
        <x:f>G42*H42</x:f>
        <x:v>0.09</x:v>
      </x:c>
      <x:c r="L42" s="28" t="str">
        <x:v>NEW explicit independent asset</x:v>
      </x:c>
      <x:c r="M42" s="28" t="str">
        <x:v>Low-Medium</x:v>
      </x:c>
      <x:c r="N42" s="28" t="str">
        <x:v>User source hypothesis</x:v>
      </x:c>
    </x:row>
    <x:row r="43">
      <x:c r="A43" s="28" t="str">
        <x:v>Schiaparelli</x:v>
      </x:c>
      <x:c r="B43" s="28" t="str">
        <x:v>Schiaparelli</x:v>
      </x:c>
      <x:c r="C43" s="28" t="str">
        <x:v>Private independent</x:v>
      </x:c>
      <x:c r="D43" s="28" t="str">
        <x:v>Source-document hypothesis</x:v>
      </x:c>
      <x:c r="E43" s="47" t="n">
        <x:v>0.25</x:v>
      </x:c>
      <x:c r="F43" s="47" t="n">
        <x:v>0.25</x:v>
      </x:c>
      <x:c r="G43" s="47" t="n">
        <x:v>0.25</x:v>
      </x:c>
      <x:c r="H43" s="30" t="n">
        <x:v>0.3</x:v>
      </x:c>
      <x:c r="I43" s="48" t="n">
        <x:f>E43*H43</x:f>
        <x:v>0.075</x:v>
      </x:c>
      <x:c r="J43" s="48" t="n">
        <x:f>F43*H43</x:f>
        <x:v>0.075</x:v>
      </x:c>
      <x:c r="K43" s="48" t="n">
        <x:f>G43*H43</x:f>
        <x:v>0.075</x:v>
      </x:c>
      <x:c r="L43" s="28" t="str">
        <x:v>Replaces portion of temporary long-tail basket</x:v>
      </x:c>
      <x:c r="M43" s="28" t="str">
        <x:v>Low-Medium</x:v>
      </x:c>
      <x:c r="N43" s="28" t="str">
        <x:v>User source hypothesis</x:v>
      </x:c>
    </x:row>
    <x:row r="44">
      <x:c r="A44" s="28" t="str">
        <x:v>Mugler</x:v>
      </x:c>
      <x:c r="B44" s="28" t="str">
        <x:v>Mugler</x:v>
      </x:c>
      <x:c r="C44" s="28" t="str">
        <x:v>Private independent</x:v>
      </x:c>
      <x:c r="D44" s="28" t="str">
        <x:v>Source-document hypothesis</x:v>
      </x:c>
      <x:c r="E44" s="47" t="n">
        <x:v>0.4</x:v>
      </x:c>
      <x:c r="F44" s="47" t="n">
        <x:v>0.4</x:v>
      </x:c>
      <x:c r="G44" s="47" t="n">
        <x:v>0.4</x:v>
      </x:c>
      <x:c r="H44" s="30" t="n">
        <x:v>0.3</x:v>
      </x:c>
      <x:c r="I44" s="48" t="n">
        <x:f>E44*H44</x:f>
        <x:v>0.12</x:v>
      </x:c>
      <x:c r="J44" s="48" t="n">
        <x:f>F44*H44</x:f>
        <x:v>0.12</x:v>
      </x:c>
      <x:c r="K44" s="48" t="n">
        <x:f>G44*H44</x:f>
        <x:v>0.12</x:v>
      </x:c>
      <x:c r="L44" s="28" t="str">
        <x:v>NEW explicit independent asset</x:v>
      </x:c>
      <x:c r="M44" s="28" t="str">
        <x:v>Low-Medium</x:v>
      </x:c>
      <x:c r="N44" s="28" t="str">
        <x:v>User source hypothesis</x:v>
      </x:c>
    </x:row>
    <x:row r="45">
      <x:c r="A45" s="28" t="str">
        <x:v>Paul Smith</x:v>
      </x:c>
      <x:c r="B45" s="28" t="str">
        <x:v>Paul Smith</x:v>
      </x:c>
      <x:c r="C45" s="28" t="str">
        <x:v>Private independent</x:v>
      </x:c>
      <x:c r="D45" s="28" t="str">
        <x:v>Source-document hypothesis</x:v>
      </x:c>
      <x:c r="E45" s="47" t="n">
        <x:v>0.3</x:v>
      </x:c>
      <x:c r="F45" s="47" t="n">
        <x:v>0.3</x:v>
      </x:c>
      <x:c r="G45" s="47" t="n">
        <x:v>0.3</x:v>
      </x:c>
      <x:c r="H45" s="30" t="n">
        <x:v>0.3</x:v>
      </x:c>
      <x:c r="I45" s="48" t="n">
        <x:f>E45*H45</x:f>
        <x:v>0.09</x:v>
      </x:c>
      <x:c r="J45" s="48" t="n">
        <x:f>F45*H45</x:f>
        <x:v>0.09</x:v>
      </x:c>
      <x:c r="K45" s="48" t="n">
        <x:f>G45*H45</x:f>
        <x:v>0.09</x:v>
      </x:c>
      <x:c r="L45" s="28" t="str">
        <x:v>Replaces portion of temporary long-tail basket</x:v>
      </x:c>
      <x:c r="M45" s="28" t="str">
        <x:v>Low-Medium</x:v>
      </x:c>
      <x:c r="N45" s="28" t="str">
        <x:v>User source hypothesis</x:v>
      </x:c>
    </x:row>
    <x:row r="46">
      <x:c r="A46" s="28" t="str">
        <x:v>Ann Demeulemeester</x:v>
      </x:c>
      <x:c r="B46" s="28" t="str">
        <x:v>Ann Demeulemeester</x:v>
      </x:c>
      <x:c r="C46" s="28" t="str">
        <x:v>Private independent</x:v>
      </x:c>
      <x:c r="D46" s="28" t="str">
        <x:v>Source-document hypothesis</x:v>
      </x:c>
      <x:c r="E46" s="47" t="n">
        <x:v>0.15</x:v>
      </x:c>
      <x:c r="F46" s="47" t="n">
        <x:v>0.15</x:v>
      </x:c>
      <x:c r="G46" s="47" t="n">
        <x:v>0.15</x:v>
      </x:c>
      <x:c r="H46" s="30" t="n">
        <x:v>0.3</x:v>
      </x:c>
      <x:c r="I46" s="48" t="n">
        <x:f>E46*H46</x:f>
        <x:v>0.045</x:v>
      </x:c>
      <x:c r="J46" s="48" t="n">
        <x:f>F46*H46</x:f>
        <x:v>0.045</x:v>
      </x:c>
      <x:c r="K46" s="48" t="n">
        <x:f>G46*H46</x:f>
        <x:v>0.045</x:v>
      </x:c>
      <x:c r="L46" s="28" t="str">
        <x:v>Replaces portion of temporary long-tail basket</x:v>
      </x:c>
      <x:c r="M46" s="28" t="str">
        <x:v>Low-Medium</x:v>
      </x:c>
      <x:c r="N46" s="28" t="str">
        <x:v>User source hypothesis</x:v>
      </x:c>
    </x:row>
    <x:row r="47">
      <x:c r="A47" s="28" t="str">
        <x:v>Yohji Yamamoto</x:v>
      </x:c>
      <x:c r="B47" s="28" t="str">
        <x:v>Yohji Yamamoto</x:v>
      </x:c>
      <x:c r="C47" s="28" t="str">
        <x:v>Private independent</x:v>
      </x:c>
      <x:c r="D47" s="28" t="str">
        <x:v>Source-document hypothesis</x:v>
      </x:c>
      <x:c r="E47" s="47" t="n">
        <x:v>0.3</x:v>
      </x:c>
      <x:c r="F47" s="47" t="n">
        <x:v>0.3</x:v>
      </x:c>
      <x:c r="G47" s="47" t="n">
        <x:v>0.3</x:v>
      </x:c>
      <x:c r="H47" s="30" t="n">
        <x:v>0.3</x:v>
      </x:c>
      <x:c r="I47" s="48" t="n">
        <x:f>E47*H47</x:f>
        <x:v>0.09</x:v>
      </x:c>
      <x:c r="J47" s="48" t="n">
        <x:f>F47*H47</x:f>
        <x:v>0.09</x:v>
      </x:c>
      <x:c r="K47" s="48" t="n">
        <x:f>G47*H47</x:f>
        <x:v>0.09</x:v>
      </x:c>
      <x:c r="L47" s="28" t="str">
        <x:v>Replaces portion of temporary long-tail basket</x:v>
      </x:c>
      <x:c r="M47" s="28" t="str">
        <x:v>Low-Medium</x:v>
      </x:c>
      <x:c r="N47" s="28" t="str">
        <x:v>User source hypothesis</x:v>
      </x:c>
    </x:row>
    <x:row r="48">
      <x:c r="A48" s="28" t="str">
        <x:v>Issey Miyake</x:v>
      </x:c>
      <x:c r="B48" s="28" t="str">
        <x:v>Issey Miyake</x:v>
      </x:c>
      <x:c r="C48" s="28" t="str">
        <x:v>Private independent</x:v>
      </x:c>
      <x:c r="D48" s="28" t="str">
        <x:v>Source-document hypothesis</x:v>
      </x:c>
      <x:c r="E48" s="47" t="n">
        <x:v>0.5</x:v>
      </x:c>
      <x:c r="F48" s="47" t="n">
        <x:v>0.5</x:v>
      </x:c>
      <x:c r="G48" s="47" t="n">
        <x:v>0.5</x:v>
      </x:c>
      <x:c r="H48" s="30" t="n">
        <x:v>0.3</x:v>
      </x:c>
      <x:c r="I48" s="48" t="n">
        <x:f>E48*H48</x:f>
        <x:v>0.15</x:v>
      </x:c>
      <x:c r="J48" s="48" t="n">
        <x:f>F48*H48</x:f>
        <x:v>0.15</x:v>
      </x:c>
      <x:c r="K48" s="48" t="n">
        <x:f>G48*H48</x:f>
        <x:v>0.15</x:v>
      </x:c>
      <x:c r="L48" s="28" t="str">
        <x:v>Replaces portion of temporary long-tail basket</x:v>
      </x:c>
      <x:c r="M48" s="28" t="str">
        <x:v>Low-Medium</x:v>
      </x:c>
      <x:c r="N48" s="28" t="str">
        <x:v>User source hypothesis</x:v>
      </x:c>
    </x:row>
    <x:row r="49">
      <x:c r="A49" s="28" t="str">
        <x:v>Proenza Schouler</x:v>
      </x:c>
      <x:c r="B49" s="28" t="str">
        <x:v>Proenza Schouler</x:v>
      </x:c>
      <x:c r="C49" s="28" t="str">
        <x:v>Private independent</x:v>
      </x:c>
      <x:c r="D49" s="28" t="str">
        <x:v>Source-document hypothesis</x:v>
      </x:c>
      <x:c r="E49" s="47" t="n">
        <x:v>0.2</x:v>
      </x:c>
      <x:c r="F49" s="47" t="n">
        <x:v>0.2</x:v>
      </x:c>
      <x:c r="G49" s="47" t="n">
        <x:v>0.2</x:v>
      </x:c>
      <x:c r="H49" s="30" t="n">
        <x:v>0.3</x:v>
      </x:c>
      <x:c r="I49" s="48" t="n">
        <x:f>E49*H49</x:f>
        <x:v>0.06</x:v>
      </x:c>
      <x:c r="J49" s="48" t="n">
        <x:f>F49*H49</x:f>
        <x:v>0.06</x:v>
      </x:c>
      <x:c r="K49" s="48" t="n">
        <x:f>G49*H49</x:f>
        <x:v>0.06</x:v>
      </x:c>
      <x:c r="L49" s="28" t="str">
        <x:v>Replaces portion of temporary long-tail basket</x:v>
      </x:c>
      <x:c r="M49" s="28" t="str">
        <x:v>Low-Medium</x:v>
      </x:c>
      <x:c r="N49" s="28" t="str">
        <x:v>User source hypothesis</x:v>
      </x:c>
    </x:row>
    <x:row r="50">
      <x:c r="A50" s="28" t="str">
        <x:v>Rodarte</x:v>
      </x:c>
      <x:c r="B50" s="28" t="str">
        <x:v>Rodarte</x:v>
      </x:c>
      <x:c r="C50" s="28" t="str">
        <x:v>Private independent</x:v>
      </x:c>
      <x:c r="D50" s="28" t="str">
        <x:v>Source-document hypothesis</x:v>
      </x:c>
      <x:c r="E50" s="47" t="n">
        <x:v>0.1</x:v>
      </x:c>
      <x:c r="F50" s="47" t="n">
        <x:v>0.1</x:v>
      </x:c>
      <x:c r="G50" s="47" t="n">
        <x:v>0.1</x:v>
      </x:c>
      <x:c r="H50" s="30" t="n">
        <x:v>0.3</x:v>
      </x:c>
      <x:c r="I50" s="48" t="n">
        <x:f>E50*H50</x:f>
        <x:v>0.03</x:v>
      </x:c>
      <x:c r="J50" s="48" t="n">
        <x:f>F50*H50</x:f>
        <x:v>0.03</x:v>
      </x:c>
      <x:c r="K50" s="48" t="n">
        <x:f>G50*H50</x:f>
        <x:v>0.03</x:v>
      </x:c>
      <x:c r="L50" s="28" t="str">
        <x:v>Replaces portion of temporary long-tail basket</x:v>
      </x:c>
      <x:c r="M50" s="28" t="str">
        <x:v>Low-Medium</x:v>
      </x:c>
      <x:c r="N50" s="28" t="str">
        <x:v>User source hypothesis</x:v>
      </x:c>
    </x:row>
    <x:row r="51">
      <x:c r="A51" s="28" t="str">
        <x:v>Jason Wu</x:v>
      </x:c>
      <x:c r="B51" s="28" t="str">
        <x:v>Jason Wu</x:v>
      </x:c>
      <x:c r="C51" s="28" t="str">
        <x:v>Private independent</x:v>
      </x:c>
      <x:c r="D51" s="28" t="str">
        <x:v>Source-document hypothesis</x:v>
      </x:c>
      <x:c r="E51" s="47" t="n">
        <x:v>0.15</x:v>
      </x:c>
      <x:c r="F51" s="47" t="n">
        <x:v>0.15</x:v>
      </x:c>
      <x:c r="G51" s="47" t="n">
        <x:v>0.15</x:v>
      </x:c>
      <x:c r="H51" s="30" t="n">
        <x:v>0.3</x:v>
      </x:c>
      <x:c r="I51" s="48" t="n">
        <x:f>E51*H51</x:f>
        <x:v>0.045</x:v>
      </x:c>
      <x:c r="J51" s="48" t="n">
        <x:f>F51*H51</x:f>
        <x:v>0.045</x:v>
      </x:c>
      <x:c r="K51" s="48" t="n">
        <x:f>G51*H51</x:f>
        <x:v>0.045</x:v>
      </x:c>
      <x:c r="L51" s="28" t="str">
        <x:v>Replaces portion of temporary long-tail basket</x:v>
      </x:c>
      <x:c r="M51" s="28" t="str">
        <x:v>Low-Medium</x:v>
      </x:c>
      <x:c r="N51" s="28" t="str">
        <x:v>User source hypothesis</x:v>
      </x:c>
    </x:row>
    <x:row r="52">
      <x:c r="A52" s="28" t="str">
        <x:v>Loro Piana</x:v>
      </x:c>
      <x:c r="B52" s="28" t="str">
        <x:v>Loro Piana</x:v>
      </x:c>
      <x:c r="C52" s="28" t="str">
        <x:v>Source-map independent / real-world LVMH child</x:v>
      </x:c>
      <x:c r="D52" s="28" t="str">
        <x:v>Source-document hypothesis</x:v>
      </x:c>
      <x:c r="E52" s="47" t="n">
        <x:v>3</x:v>
      </x:c>
      <x:c r="F52" s="47" t="n">
        <x:v>3</x:v>
      </x:c>
      <x:c r="G52" s="47" t="n">
        <x:v>3</x:v>
      </x:c>
      <x:c r="H52" s="30" t="n">
        <x:v>0</x:v>
      </x:c>
      <x:c r="I52" s="48" t="n">
        <x:f>E52*H52</x:f>
        <x:v>0</x:v>
      </x:c>
      <x:c r="J52" s="48" t="n">
        <x:f>F52*H52</x:f>
        <x:v>0</x:v>
      </x:c>
      <x:c r="K52" s="48" t="n">
        <x:f>G52*H52</x:f>
        <x:v>0</x:v>
      </x:c>
      <x:c r="L52" s="28" t="str">
        <x:v>OVERLAP EXCLUDED FROM TOTAL: source lists as independent, but Loro Piana is inside LVMH; preserve row for source fidelity, do not double count</x:v>
      </x:c>
      <x:c r="M52" s="28" t="str">
        <x:v>Low</x:v>
      </x:c>
      <x:c r="N52" s="28" t="str">
        <x:v>User source hypothesis; structural overlap flagged</x:v>
      </x:c>
    </x:row>
    <x:row r="53">
      <x:c r="A53" s="28" t="str">
        <x:v>Bally</x:v>
      </x:c>
      <x:c r="B53" s="28" t="str">
        <x:v>Bally</x:v>
      </x:c>
      <x:c r="C53" s="28" t="str">
        <x:v>Private independent</x:v>
      </x:c>
      <x:c r="D53" s="28" t="str">
        <x:v>Source-document hypothesis</x:v>
      </x:c>
      <x:c r="E53" s="47" t="n">
        <x:v>0.5</x:v>
      </x:c>
      <x:c r="F53" s="47" t="n">
        <x:v>0.5</x:v>
      </x:c>
      <x:c r="G53" s="47" t="n">
        <x:v>0.5</x:v>
      </x:c>
      <x:c r="H53" s="30" t="n">
        <x:v>0.3</x:v>
      </x:c>
      <x:c r="I53" s="48" t="n">
        <x:f>E53*H53</x:f>
        <x:v>0.15</x:v>
      </x:c>
      <x:c r="J53" s="48" t="n">
        <x:f>F53*H53</x:f>
        <x:v>0.15</x:v>
      </x:c>
      <x:c r="K53" s="48" t="n">
        <x:f>G53*H53</x:f>
        <x:v>0.15</x:v>
      </x:c>
      <x:c r="L53" s="28" t="str">
        <x:v>NEW explicit independent asset</x:v>
      </x:c>
      <x:c r="M53" s="28" t="str">
        <x:v>Low-Medium</x:v>
      </x:c>
      <x:c r="N53" s="28" t="str">
        <x:v>User source hypothesis</x:v>
      </x:c>
    </x:row>
    <x:row r="54">
      <x:c r="A54" s="28" t="str">
        <x:v>Tod's</x:v>
      </x:c>
      <x:c r="B54" s="28" t="str">
        <x:v>Tod's</x:v>
      </x:c>
      <x:c r="C54" s="28" t="str">
        <x:v>Private independent</x:v>
      </x:c>
      <x:c r="D54" s="28" t="str">
        <x:v>Source-document hypothesis</x:v>
      </x:c>
      <x:c r="E54" s="47" t="n">
        <x:v>1</x:v>
      </x:c>
      <x:c r="F54" s="47" t="n">
        <x:v>1</x:v>
      </x:c>
      <x:c r="G54" s="47" t="n">
        <x:v>1</x:v>
      </x:c>
      <x:c r="H54" s="30" t="n">
        <x:v>0.3</x:v>
      </x:c>
      <x:c r="I54" s="48" t="n">
        <x:f>E54*H54</x:f>
        <x:v>0.3</x:v>
      </x:c>
      <x:c r="J54" s="48" t="n">
        <x:f>F54*H54</x:f>
        <x:v>0.3</x:v>
      </x:c>
      <x:c r="K54" s="48" t="n">
        <x:f>G54*H54</x:f>
        <x:v>0.3</x:v>
      </x:c>
      <x:c r="L54" s="28" t="str">
        <x:v>NEW explicit independent asset</x:v>
      </x:c>
      <x:c r="M54" s="28" t="str">
        <x:v>Low-Medium</x:v>
      </x:c>
      <x:c r="N54" s="28" t="str">
        <x:v>User source hypothesis</x:v>
      </x:c>
    </x:row>
    <x:row r="55">
      <x:c r="A55" s="28" t="str">
        <x:v>Sergio Rossi</x:v>
      </x:c>
      <x:c r="B55" s="28" t="str">
        <x:v>Sergio Rossi</x:v>
      </x:c>
      <x:c r="C55" s="28" t="str">
        <x:v>Private independent</x:v>
      </x:c>
      <x:c r="D55" s="28" t="str">
        <x:v>Source-document hypothesis</x:v>
      </x:c>
      <x:c r="E55" s="47" t="n">
        <x:v>0.2</x:v>
      </x:c>
      <x:c r="F55" s="47" t="n">
        <x:v>0.2</x:v>
      </x:c>
      <x:c r="G55" s="47" t="n">
        <x:v>0.2</x:v>
      </x:c>
      <x:c r="H55" s="30" t="n">
        <x:v>0.3</x:v>
      </x:c>
      <x:c r="I55" s="48" t="n">
        <x:f>E55*H55</x:f>
        <x:v>0.06</x:v>
      </x:c>
      <x:c r="J55" s="48" t="n">
        <x:f>F55*H55</x:f>
        <x:v>0.06</x:v>
      </x:c>
      <x:c r="K55" s="48" t="n">
        <x:f>G55*H55</x:f>
        <x:v>0.06</x:v>
      </x:c>
      <x:c r="L55" s="28" t="str">
        <x:v>NEW explicit independent asset</x:v>
      </x:c>
      <x:c r="M55" s="28" t="str">
        <x:v>Low-Medium</x:v>
      </x:c>
      <x:c r="N55" s="28" t="str">
        <x:v>User source hypothesis</x:v>
      </x:c>
    </x:row>
    <x:row r="56">
      <x:c r="A56" s="28" t="str">
        <x:v>Giuseppe Zanotti</x:v>
      </x:c>
      <x:c r="B56" s="28" t="str">
        <x:v>Giuseppe Zanotti</x:v>
      </x:c>
      <x:c r="C56" s="28" t="str">
        <x:v>Private independent</x:v>
      </x:c>
      <x:c r="D56" s="28" t="str">
        <x:v>Source-document hypothesis</x:v>
      </x:c>
      <x:c r="E56" s="47" t="n">
        <x:v>0.2</x:v>
      </x:c>
      <x:c r="F56" s="47" t="n">
        <x:v>0.2</x:v>
      </x:c>
      <x:c r="G56" s="47" t="n">
        <x:v>0.2</x:v>
      </x:c>
      <x:c r="H56" s="30" t="n">
        <x:v>0.3</x:v>
      </x:c>
      <x:c r="I56" s="48" t="n">
        <x:f>E56*H56</x:f>
        <x:v>0.06</x:v>
      </x:c>
      <x:c r="J56" s="48" t="n">
        <x:f>F56*H56</x:f>
        <x:v>0.06</x:v>
      </x:c>
      <x:c r="K56" s="48" t="n">
        <x:f>G56*H56</x:f>
        <x:v>0.06</x:v>
      </x:c>
      <x:c r="L56" s="28" t="str">
        <x:v>NEW explicit independent asset</x:v>
      </x:c>
      <x:c r="M56" s="28" t="str">
        <x:v>Low-Medium</x:v>
      </x:c>
      <x:c r="N56" s="28" t="str">
        <x:v>User source hypothesis</x:v>
      </x:c>
    </x:row>
    <x:row r="57">
      <x:c r="A57" s="28" t="str">
        <x:v>Balmain Hair</x:v>
      </x:c>
      <x:c r="B57" s="28" t="str">
        <x:v>Balmain Hair</x:v>
      </x:c>
      <x:c r="C57" s="28" t="str">
        <x:v>Private independent</x:v>
      </x:c>
      <x:c r="D57" s="28" t="str">
        <x:v>Source-document hypothesis</x:v>
      </x:c>
      <x:c r="E57" s="47" t="n">
        <x:v>0.2</x:v>
      </x:c>
      <x:c r="F57" s="47" t="n">
        <x:v>0.2</x:v>
      </x:c>
      <x:c r="G57" s="47" t="n">
        <x:v>0.2</x:v>
      </x:c>
      <x:c r="H57" s="30" t="n">
        <x:v>0.3</x:v>
      </x:c>
      <x:c r="I57" s="48" t="n">
        <x:f>E57*H57</x:f>
        <x:v>0.06</x:v>
      </x:c>
      <x:c r="J57" s="48" t="n">
        <x:f>F57*H57</x:f>
        <x:v>0.06</x:v>
      </x:c>
      <x:c r="K57" s="48" t="n">
        <x:f>G57*H57</x:f>
        <x:v>0.06</x:v>
      </x:c>
      <x:c r="L57" s="28" t="str">
        <x:v>NEW explicit independent asset</x:v>
      </x:c>
      <x:c r="M57" s="28" t="str">
        <x:v>Low-Medium</x:v>
      </x:c>
      <x:c r="N57" s="28" t="str">
        <x:v>User source hypothesis</x:v>
      </x:c>
    </x:row>
    <x:row r="58">
      <x:c r="A58" s="28" t="str">
        <x:v>Erdem</x:v>
      </x:c>
      <x:c r="B58" s="28" t="str">
        <x:v>Erdem</x:v>
      </x:c>
      <x:c r="C58" s="28" t="str">
        <x:v>Private independent</x:v>
      </x:c>
      <x:c r="D58" s="28" t="str">
        <x:v>Source-document hypothesis</x:v>
      </x:c>
      <x:c r="E58" s="47" t="n">
        <x:v>0.1</x:v>
      </x:c>
      <x:c r="F58" s="47" t="n">
        <x:v>0.1</x:v>
      </x:c>
      <x:c r="G58" s="47" t="n">
        <x:v>0.1</x:v>
      </x:c>
      <x:c r="H58" s="30" t="n">
        <x:v>0.3</x:v>
      </x:c>
      <x:c r="I58" s="48" t="n">
        <x:f>E58*H58</x:f>
        <x:v>0.03</x:v>
      </x:c>
      <x:c r="J58" s="48" t="n">
        <x:f>F58*H58</x:f>
        <x:v>0.03</x:v>
      </x:c>
      <x:c r="K58" s="48" t="n">
        <x:f>G58*H58</x:f>
        <x:v>0.03</x:v>
      </x:c>
      <x:c r="L58" s="28" t="str">
        <x:v>Replaces portion of temporary long-tail basket</x:v>
      </x:c>
      <x:c r="M58" s="28" t="str">
        <x:v>Low-Medium</x:v>
      </x:c>
      <x:c r="N58" s="28" t="str">
        <x:v>User source hypothesis</x:v>
      </x:c>
    </x:row>
    <x:row r="59">
      <x:c r="A59" s="28" t="str">
        <x:v>Simone Rocha</x:v>
      </x:c>
      <x:c r="B59" s="28" t="str">
        <x:v>Simone Rocha</x:v>
      </x:c>
      <x:c r="C59" s="28" t="str">
        <x:v>Private independent</x:v>
      </x:c>
      <x:c r="D59" s="28" t="str">
        <x:v>Source-document hypothesis</x:v>
      </x:c>
      <x:c r="E59" s="47" t="n">
        <x:v>0.15</x:v>
      </x:c>
      <x:c r="F59" s="47" t="n">
        <x:v>0.15</x:v>
      </x:c>
      <x:c r="G59" s="47" t="n">
        <x:v>0.15</x:v>
      </x:c>
      <x:c r="H59" s="30" t="n">
        <x:v>0.3</x:v>
      </x:c>
      <x:c r="I59" s="48" t="n">
        <x:f>E59*H59</x:f>
        <x:v>0.045</x:v>
      </x:c>
      <x:c r="J59" s="48" t="n">
        <x:f>F59*H59</x:f>
        <x:v>0.045</x:v>
      </x:c>
      <x:c r="K59" s="48" t="n">
        <x:f>G59*H59</x:f>
        <x:v>0.045</x:v>
      </x:c>
      <x:c r="L59" s="28" t="str">
        <x:v>Replaces portion of temporary long-tail basket</x:v>
      </x:c>
      <x:c r="M59" s="28" t="str">
        <x:v>Low-Medium</x:v>
      </x:c>
      <x:c r="N59" s="28" t="str">
        <x:v>User source hypothesis</x:v>
      </x:c>
    </x:row>
    <x:row r="60">
      <x:c r="A60" s="28" t="str">
        <x:v>JW Anderson</x:v>
      </x:c>
      <x:c r="B60" s="28" t="str">
        <x:v>JW Anderson</x:v>
      </x:c>
      <x:c r="C60" s="28" t="str">
        <x:v>Private independent</x:v>
      </x:c>
      <x:c r="D60" s="28" t="str">
        <x:v>Source-document hypothesis</x:v>
      </x:c>
      <x:c r="E60" s="47" t="n">
        <x:v>0.2</x:v>
      </x:c>
      <x:c r="F60" s="47" t="n">
        <x:v>0.2</x:v>
      </x:c>
      <x:c r="G60" s="47" t="n">
        <x:v>0.2</x:v>
      </x:c>
      <x:c r="H60" s="30" t="n">
        <x:v>0.3</x:v>
      </x:c>
      <x:c r="I60" s="48" t="n">
        <x:f>E60*H60</x:f>
        <x:v>0.06</x:v>
      </x:c>
      <x:c r="J60" s="48" t="n">
        <x:f>F60*H60</x:f>
        <x:v>0.06</x:v>
      </x:c>
      <x:c r="K60" s="48" t="n">
        <x:f>G60*H60</x:f>
        <x:v>0.06</x:v>
      </x:c>
      <x:c r="L60" s="28" t="str">
        <x:v>Replaces portion of temporary long-tail basket</x:v>
      </x:c>
      <x:c r="M60" s="28" t="str">
        <x:v>Low-Medium</x:v>
      </x:c>
      <x:c r="N60" s="28" t="str">
        <x:v>User source hypothesis</x:v>
      </x:c>
    </x:row>
    <x:row r="61">
      <x:c r="A61" s="28" t="str">
        <x:v>Roksanda</x:v>
      </x:c>
      <x:c r="B61" s="28" t="str">
        <x:v>Roksanda</x:v>
      </x:c>
      <x:c r="C61" s="28" t="str">
        <x:v>Private independent</x:v>
      </x:c>
      <x:c r="D61" s="28" t="str">
        <x:v>Source-document hypothesis</x:v>
      </x:c>
      <x:c r="E61" s="47" t="n">
        <x:v>0.1</x:v>
      </x:c>
      <x:c r="F61" s="47" t="n">
        <x:v>0.1</x:v>
      </x:c>
      <x:c r="G61" s="47" t="n">
        <x:v>0.1</x:v>
      </x:c>
      <x:c r="H61" s="30" t="n">
        <x:v>0.3</x:v>
      </x:c>
      <x:c r="I61" s="48" t="n">
        <x:f>E61*H61</x:f>
        <x:v>0.03</x:v>
      </x:c>
      <x:c r="J61" s="48" t="n">
        <x:f>F61*H61</x:f>
        <x:v>0.03</x:v>
      </x:c>
      <x:c r="K61" s="48" t="n">
        <x:f>G61*H61</x:f>
        <x:v>0.03</x:v>
      </x:c>
      <x:c r="L61" s="28" t="str">
        <x:v>Replaces portion of temporary long-tail basket</x:v>
      </x:c>
      <x:c r="M61" s="28" t="str">
        <x:v>Low-Medium</x:v>
      </x:c>
      <x:c r="N61" s="28" t="str">
        <x:v>User source hypothesis</x:v>
      </x:c>
    </x:row>
    <x:row r="62">
      <x:c r="A62" s="28" t="str">
        <x:v>Mary Katrantzou</x:v>
      </x:c>
      <x:c r="B62" s="28" t="str">
        <x:v>Mary Katrantzou</x:v>
      </x:c>
      <x:c r="C62" s="28" t="str">
        <x:v>Private independent</x:v>
      </x:c>
      <x:c r="D62" s="28" t="str">
        <x:v>Source-document hypothesis</x:v>
      </x:c>
      <x:c r="E62" s="47" t="n">
        <x:v>0.1</x:v>
      </x:c>
      <x:c r="F62" s="47" t="n">
        <x:v>0.1</x:v>
      </x:c>
      <x:c r="G62" s="47" t="n">
        <x:v>0.1</x:v>
      </x:c>
      <x:c r="H62" s="30" t="n">
        <x:v>0.3</x:v>
      </x:c>
      <x:c r="I62" s="48" t="n">
        <x:f>E62*H62</x:f>
        <x:v>0.03</x:v>
      </x:c>
      <x:c r="J62" s="48" t="n">
        <x:f>F62*H62</x:f>
        <x:v>0.03</x:v>
      </x:c>
      <x:c r="K62" s="48" t="n">
        <x:f>G62*H62</x:f>
        <x:v>0.03</x:v>
      </x:c>
      <x:c r="L62" s="28" t="str">
        <x:v>Replaces portion of temporary long-tail basket</x:v>
      </x:c>
      <x:c r="M62" s="28" t="str">
        <x:v>Low-Medium</x:v>
      </x:c>
      <x:c r="N62" s="28" t="str">
        <x:v>User source hypothesis</x:v>
      </x:c>
    </x:row>
    <x:row r="63">
      <x:c r="A63" s="28" t="str">
        <x:v>Christopher Kane</x:v>
      </x:c>
      <x:c r="B63" s="28" t="str">
        <x:v>Christopher Kane</x:v>
      </x:c>
      <x:c r="C63" s="28" t="str">
        <x:v>Private independent</x:v>
      </x:c>
      <x:c r="D63" s="28" t="str">
        <x:v>Source-document hypothesis</x:v>
      </x:c>
      <x:c r="E63" s="47" t="n">
        <x:v>0.1</x:v>
      </x:c>
      <x:c r="F63" s="47" t="n">
        <x:v>0.1</x:v>
      </x:c>
      <x:c r="G63" s="47" t="n">
        <x:v>0.1</x:v>
      </x:c>
      <x:c r="H63" s="30" t="n">
        <x:v>0.3</x:v>
      </x:c>
      <x:c r="I63" s="48" t="n">
        <x:f>E63*H63</x:f>
        <x:v>0.03</x:v>
      </x:c>
      <x:c r="J63" s="48" t="n">
        <x:f>F63*H63</x:f>
        <x:v>0.03</x:v>
      </x:c>
      <x:c r="K63" s="48" t="n">
        <x:f>G63*H63</x:f>
        <x:v>0.03</x:v>
      </x:c>
      <x:c r="L63" s="28" t="str">
        <x:v>Replaces portion of temporary long-tail basket</x:v>
      </x:c>
      <x:c r="M63" s="28" t="str">
        <x:v>Low-Medium</x:v>
      </x:c>
      <x:c r="N63" s="28" t="str">
        <x:v>User source hypothesis</x:v>
      </x:c>
    </x:row>
    <x:row r="64">
      <x:c r="A64" s="28" t="str">
        <x:v>Emilia Wickstead</x:v>
      </x:c>
      <x:c r="B64" s="28" t="str">
        <x:v>Emilia Wickstead</x:v>
      </x:c>
      <x:c r="C64" s="28" t="str">
        <x:v>Private independent</x:v>
      </x:c>
      <x:c r="D64" s="28" t="str">
        <x:v>Source-document hypothesis</x:v>
      </x:c>
      <x:c r="E64" s="47" t="n">
        <x:v>0.1</x:v>
      </x:c>
      <x:c r="F64" s="47" t="n">
        <x:v>0.1</x:v>
      </x:c>
      <x:c r="G64" s="47" t="n">
        <x:v>0.1</x:v>
      </x:c>
      <x:c r="H64" s="30" t="n">
        <x:v>0.3</x:v>
      </x:c>
      <x:c r="I64" s="48" t="n">
        <x:f>E64*H64</x:f>
        <x:v>0.03</x:v>
      </x:c>
      <x:c r="J64" s="48" t="n">
        <x:f>F64*H64</x:f>
        <x:v>0.03</x:v>
      </x:c>
      <x:c r="K64" s="48" t="n">
        <x:f>G64*H64</x:f>
        <x:v>0.03</x:v>
      </x:c>
      <x:c r="L64" s="28" t="str">
        <x:v>Replaces portion of temporary long-tail basket</x:v>
      </x:c>
      <x:c r="M64" s="28" t="str">
        <x:v>Low-Medium</x:v>
      </x:c>
      <x:c r="N64" s="28" t="str">
        <x:v>User source hypothesis</x:v>
      </x:c>
    </x:row>
    <x:row r="65">
      <x:c r="A65" s="28" t="str">
        <x:v>Rejina Pyo</x:v>
      </x:c>
      <x:c r="B65" s="28" t="str">
        <x:v>Rejina Pyo</x:v>
      </x:c>
      <x:c r="C65" s="28" t="str">
        <x:v>Private independent</x:v>
      </x:c>
      <x:c r="D65" s="28" t="str">
        <x:v>Source-document hypothesis</x:v>
      </x:c>
      <x:c r="E65" s="47" t="n">
        <x:v>0.08</x:v>
      </x:c>
      <x:c r="F65" s="47" t="n">
        <x:v>0.08</x:v>
      </x:c>
      <x:c r="G65" s="47" t="n">
        <x:v>0.08</x:v>
      </x:c>
      <x:c r="H65" s="30" t="n">
        <x:v>0.3</x:v>
      </x:c>
      <x:c r="I65" s="48" t="n">
        <x:f>E65*H65</x:f>
        <x:v>0.024</x:v>
      </x:c>
      <x:c r="J65" s="48" t="n">
        <x:f>F65*H65</x:f>
        <x:v>0.024</x:v>
      </x:c>
      <x:c r="K65" s="48" t="n">
        <x:f>G65*H65</x:f>
        <x:v>0.024</x:v>
      </x:c>
      <x:c r="L65" s="28" t="str">
        <x:v>Replaces portion of temporary long-tail basket</x:v>
      </x:c>
      <x:c r="M65" s="28" t="str">
        <x:v>Low-Medium</x:v>
      </x:c>
      <x:c r="N65" s="28" t="str">
        <x:v>User source hypothesis</x:v>
      </x:c>
    </x:row>
    <x:row r="66">
      <x:c r="A66" s="28" t="str">
        <x:v>Casablanca</x:v>
      </x:c>
      <x:c r="B66" s="28" t="str">
        <x:v>Casablanca</x:v>
      </x:c>
      <x:c r="C66" s="28" t="str">
        <x:v>Private independent</x:v>
      </x:c>
      <x:c r="D66" s="28" t="str">
        <x:v>Source-document hypothesis</x:v>
      </x:c>
      <x:c r="E66" s="47" t="n">
        <x:v>0.2</x:v>
      </x:c>
      <x:c r="F66" s="47" t="n">
        <x:v>0.2</x:v>
      </x:c>
      <x:c r="G66" s="47" t="n">
        <x:v>0.2</x:v>
      </x:c>
      <x:c r="H66" s="30" t="n">
        <x:v>0.3</x:v>
      </x:c>
      <x:c r="I66" s="48" t="n">
        <x:f>E66*H66</x:f>
        <x:v>0.06</x:v>
      </x:c>
      <x:c r="J66" s="48" t="n">
        <x:f>F66*H66</x:f>
        <x:v>0.06</x:v>
      </x:c>
      <x:c r="K66" s="48" t="n">
        <x:f>G66*H66</x:f>
        <x:v>0.06</x:v>
      </x:c>
      <x:c r="L66" s="28" t="str">
        <x:v>Replaces portion of temporary long-tail basket</x:v>
      </x:c>
      <x:c r="M66" s="28" t="str">
        <x:v>Low-Medium</x:v>
      </x:c>
      <x:c r="N66" s="28" t="str">
        <x:v>User source hypothesis</x:v>
      </x:c>
    </x:row>
    <x:row r="67">
      <x:c r="A67" s="28" t="str">
        <x:v>Marine Serre</x:v>
      </x:c>
      <x:c r="B67" s="28" t="str">
        <x:v>Marine Serre</x:v>
      </x:c>
      <x:c r="C67" s="28" t="str">
        <x:v>Private independent</x:v>
      </x:c>
      <x:c r="D67" s="28" t="str">
        <x:v>Source-document hypothesis</x:v>
      </x:c>
      <x:c r="E67" s="47" t="n">
        <x:v>0.15</x:v>
      </x:c>
      <x:c r="F67" s="47" t="n">
        <x:v>0.15</x:v>
      </x:c>
      <x:c r="G67" s="47" t="n">
        <x:v>0.15</x:v>
      </x:c>
      <x:c r="H67" s="30" t="n">
        <x:v>0.3</x:v>
      </x:c>
      <x:c r="I67" s="48" t="n">
        <x:f>E67*H67</x:f>
        <x:v>0.045</x:v>
      </x:c>
      <x:c r="J67" s="48" t="n">
        <x:f>F67*H67</x:f>
        <x:v>0.045</x:v>
      </x:c>
      <x:c r="K67" s="48" t="n">
        <x:f>G67*H67</x:f>
        <x:v>0.045</x:v>
      </x:c>
      <x:c r="L67" s="28" t="str">
        <x:v>Replaces portion of temporary long-tail basket</x:v>
      </x:c>
      <x:c r="M67" s="28" t="str">
        <x:v>Low-Medium</x:v>
      </x:c>
      <x:c r="N67" s="28" t="str">
        <x:v>User source hypothesis</x:v>
      </x:c>
    </x:row>
    <x:row r="68">
      <x:c r="A68" s="28" t="str">
        <x:v>Coperni</x:v>
      </x:c>
      <x:c r="B68" s="28" t="str">
        <x:v>Coperni</x:v>
      </x:c>
      <x:c r="C68" s="28" t="str">
        <x:v>Private independent</x:v>
      </x:c>
      <x:c r="D68" s="28" t="str">
        <x:v>Source-document hypothesis</x:v>
      </x:c>
      <x:c r="E68" s="47" t="n">
        <x:v>0.15</x:v>
      </x:c>
      <x:c r="F68" s="47" t="n">
        <x:v>0.15</x:v>
      </x:c>
      <x:c r="G68" s="47" t="n">
        <x:v>0.15</x:v>
      </x:c>
      <x:c r="H68" s="30" t="n">
        <x:v>0.3</x:v>
      </x:c>
      <x:c r="I68" s="48" t="n">
        <x:f>E68*H68</x:f>
        <x:v>0.045</x:v>
      </x:c>
      <x:c r="J68" s="48" t="n">
        <x:f>F68*H68</x:f>
        <x:v>0.045</x:v>
      </x:c>
      <x:c r="K68" s="48" t="n">
        <x:f>G68*H68</x:f>
        <x:v>0.045</x:v>
      </x:c>
      <x:c r="L68" s="28" t="str">
        <x:v>Replaces portion of temporary long-tail basket</x:v>
      </x:c>
      <x:c r="M68" s="28" t="str">
        <x:v>Low-Medium</x:v>
      </x:c>
      <x:c r="N68" s="28" t="str">
        <x:v>User source hypothesis</x:v>
      </x:c>
    </x:row>
    <x:row r="69">
      <x:c r="A69" s="28" t="str">
        <x:v>Cavalli</x:v>
      </x:c>
      <x:c r="B69" s="28" t="str">
        <x:v>Cavalli</x:v>
      </x:c>
      <x:c r="C69" s="28" t="str">
        <x:v>Private independent</x:v>
      </x:c>
      <x:c r="D69" s="28" t="str">
        <x:v>Source-document hypothesis</x:v>
      </x:c>
      <x:c r="E69" s="47" t="n">
        <x:v>0.3</x:v>
      </x:c>
      <x:c r="F69" s="47" t="n">
        <x:v>0.3</x:v>
      </x:c>
      <x:c r="G69" s="47" t="n">
        <x:v>0.3</x:v>
      </x:c>
      <x:c r="H69" s="30" t="n">
        <x:v>0.3</x:v>
      </x:c>
      <x:c r="I69" s="48" t="n">
        <x:f>E69*H69</x:f>
        <x:v>0.09</x:v>
      </x:c>
      <x:c r="J69" s="48" t="n">
        <x:f>F69*H69</x:f>
        <x:v>0.09</x:v>
      </x:c>
      <x:c r="K69" s="48" t="n">
        <x:f>G69*H69</x:f>
        <x:v>0.09</x:v>
      </x:c>
      <x:c r="L69" s="28" t="str">
        <x:v>Replaces portion of temporary long-tail basket</x:v>
      </x:c>
      <x:c r="M69" s="28" t="str">
        <x:v>Low-Medium</x:v>
      </x:c>
      <x:c r="N69" s="28" t="str">
        <x:v>User source hypothesis</x:v>
      </x:c>
    </x:row>
    <x:row r="70">
      <x:c r="A70" s="28" t="str">
        <x:v>Qosmedix / Paramount Beauty</x:v>
      </x:c>
      <x:c r="B70" s="28" t="str">
        <x:v>Salon supply</x:v>
      </x:c>
      <x:c r="C70" s="28" t="str">
        <x:v>Private support asset</x:v>
      </x:c>
      <x:c r="D70" s="28" t="str">
        <x:v>Source-document hypothesis</x:v>
      </x:c>
      <x:c r="E70" s="47" t="n">
        <x:v>0.4</x:v>
      </x:c>
      <x:c r="F70" s="47" t="n">
        <x:v>0.4</x:v>
      </x:c>
      <x:c r="G70" s="47" t="n">
        <x:v>0.4</x:v>
      </x:c>
      <x:c r="H70" s="30" t="n">
        <x:v>0.3</x:v>
      </x:c>
      <x:c r="I70" s="48" t="n">
        <x:f>E70*H70</x:f>
        <x:v>0.12</x:v>
      </x:c>
      <x:c r="J70" s="48" t="n">
        <x:f>F70*H70</x:f>
        <x:v>0.12</x:v>
      </x:c>
      <x:c r="K70" s="48" t="n">
        <x:f>G70*H70</x:f>
        <x:v>0.12</x:v>
      </x:c>
      <x:c r="L70" s="28" t="str">
        <x:v>Explicit source row; controlling-stake wording conflicts with $120M investment, so 30% retained pending audit</x:v>
      </x:c>
      <x:c r="M70" s="28" t="str">
        <x:v>Low-Medium</x:v>
      </x:c>
      <x:c r="N70" s="28" t="str">
        <x:v>User source hypothesis</x:v>
      </x:c>
    </x:row>
    <x:row r="71">
      <x:c r="A71" s="28" t="str">
        <x:v>Six Senses Spa Group</x:v>
      </x:c>
      <x:c r="B71" s="28" t="str">
        <x:v>Global destinations</x:v>
      </x:c>
      <x:c r="C71" s="28" t="str">
        <x:v>Hospitality / spa</x:v>
      </x:c>
      <x:c r="D71" s="28" t="str">
        <x:v>Source-document hypothesis</x:v>
      </x:c>
      <x:c r="E71" s="47" t="n">
        <x:v>2</x:v>
      </x:c>
      <x:c r="F71" s="47" t="n">
        <x:v>2</x:v>
      </x:c>
      <x:c r="G71" s="47" t="n">
        <x:v>2</x:v>
      </x:c>
      <x:c r="H71" s="30" t="n">
        <x:v>0.3</x:v>
      </x:c>
      <x:c r="I71" s="48" t="n">
        <x:f>E71*H71</x:f>
        <x:v>0.6</x:v>
      </x:c>
      <x:c r="J71" s="48" t="n">
        <x:f>F71*H71</x:f>
        <x:v>0.6</x:v>
      </x:c>
      <x:c r="K71" s="48" t="n">
        <x:f>G71*H71</x:f>
        <x:v>0.6</x:v>
      </x:c>
      <x:c r="L71" s="28" t="str">
        <x:v>NEW hospitality layer</x:v>
      </x:c>
      <x:c r="M71" s="28" t="str">
        <x:v>Low-Medium</x:v>
      </x:c>
      <x:c r="N71" s="28" t="str">
        <x:v>User source hypothesis</x:v>
      </x:c>
    </x:row>
    <x:row r="72">
      <x:c r="A72" s="28" t="str">
        <x:v>Mandarin Oriental Spa Network</x:v>
      </x:c>
      <x:c r="B72" s="28" t="str">
        <x:v>Spa network</x:v>
      </x:c>
      <x:c r="C72" s="28" t="str">
        <x:v>Hospitality / spa</x:v>
      </x:c>
      <x:c r="D72" s="28" t="str">
        <x:v>Source-document hypothesis</x:v>
      </x:c>
      <x:c r="E72" s="47" t="n">
        <x:v>4</x:v>
      </x:c>
      <x:c r="F72" s="47" t="n">
        <x:v>4</x:v>
      </x:c>
      <x:c r="G72" s="47" t="n">
        <x:v>4</x:v>
      </x:c>
      <x:c r="H72" s="30" t="n">
        <x:v>0.3</x:v>
      </x:c>
      <x:c r="I72" s="48" t="n">
        <x:f>E72*H72</x:f>
        <x:v>1.2</x:v>
      </x:c>
      <x:c r="J72" s="48" t="n">
        <x:f>F72*H72</x:f>
        <x:v>1.2</x:v>
      </x:c>
      <x:c r="K72" s="48" t="n">
        <x:f>G72*H72</x:f>
        <x:v>1.2</x:v>
      </x:c>
      <x:c r="L72" s="28" t="str">
        <x:v>NEW hospitality layer</x:v>
      </x:c>
      <x:c r="M72" s="28" t="str">
        <x:v>Low-Medium</x:v>
      </x:c>
      <x:c r="N72" s="28" t="str">
        <x:v>User source hypothesis</x:v>
      </x:c>
    </x:row>
    <x:row r="73">
      <x:c r="A73" s="28" t="str">
        <x:v>Anantara Spa Portfolio</x:v>
      </x:c>
      <x:c r="B73" s="28" t="str">
        <x:v>Spa portfolio</x:v>
      </x:c>
      <x:c r="C73" s="28" t="str">
        <x:v>Hospitality / spa</x:v>
      </x:c>
      <x:c r="D73" s="28" t="str">
        <x:v>Source-document hypothesis</x:v>
      </x:c>
      <x:c r="E73" s="47" t="n">
        <x:v>1.5</x:v>
      </x:c>
      <x:c r="F73" s="47" t="n">
        <x:v>1.5</x:v>
      </x:c>
      <x:c r="G73" s="47" t="n">
        <x:v>1.5</x:v>
      </x:c>
      <x:c r="H73" s="30" t="n">
        <x:v>0.3</x:v>
      </x:c>
      <x:c r="I73" s="48" t="n">
        <x:f>E73*H73</x:f>
        <x:v>0.44999999999999996</x:v>
      </x:c>
      <x:c r="J73" s="48" t="n">
        <x:f>F73*H73</x:f>
        <x:v>0.44999999999999996</x:v>
      </x:c>
      <x:c r="K73" s="48" t="n">
        <x:f>G73*H73</x:f>
        <x:v>0.44999999999999996</x:v>
      </x:c>
      <x:c r="L73" s="28" t="str">
        <x:v>NEW hospitality layer</x:v>
      </x:c>
      <x:c r="M73" s="28" t="str">
        <x:v>Low-Medium</x:v>
      </x:c>
      <x:c r="N73" s="28" t="str">
        <x:v>User source hypothesis</x:v>
      </x:c>
    </x:row>
    <x:row r="74">
      <x:c r="A74" s="28" t="str">
        <x:v>COMO Shambhala Estate</x:v>
      </x:c>
      <x:c r="B74" s="28" t="str">
        <x:v>Bali wellness estate</x:v>
      </x:c>
      <x:c r="C74" s="28" t="str">
        <x:v>Hospitality / spa</x:v>
      </x:c>
      <x:c r="D74" s="28" t="str">
        <x:v>Source-document hypothesis</x:v>
      </x:c>
      <x:c r="E74" s="47" t="n">
        <x:v>0.5</x:v>
      </x:c>
      <x:c r="F74" s="47" t="n">
        <x:v>0.5</x:v>
      </x:c>
      <x:c r="G74" s="47" t="n">
        <x:v>0.5</x:v>
      </x:c>
      <x:c r="H74" s="30" t="n">
        <x:v>0.3</x:v>
      </x:c>
      <x:c r="I74" s="48" t="n">
        <x:f>E74*H74</x:f>
        <x:v>0.15</x:v>
      </x:c>
      <x:c r="J74" s="48" t="n">
        <x:f>F74*H74</x:f>
        <x:v>0.15</x:v>
      </x:c>
      <x:c r="K74" s="48" t="n">
        <x:f>G74*H74</x:f>
        <x:v>0.15</x:v>
      </x:c>
      <x:c r="L74" s="28" t="str">
        <x:v>NEW hospitality layer</x:v>
      </x:c>
      <x:c r="M74" s="28" t="str">
        <x:v>Low-Medium</x:v>
      </x:c>
      <x:c r="N74" s="28" t="str">
        <x:v>User source hypothesis</x:v>
      </x:c>
    </x:row>
    <x:row r="75">
      <x:c r="A75" s="28" t="str">
        <x:v>SHA Wellness Clinic</x:v>
      </x:c>
      <x:c r="B75" s="28" t="str">
        <x:v>Spain</x:v>
      </x:c>
      <x:c r="C75" s="28" t="str">
        <x:v>Hospitality / spa</x:v>
      </x:c>
      <x:c r="D75" s="28" t="str">
        <x:v>Source-document hypothesis</x:v>
      </x:c>
      <x:c r="E75" s="47" t="n">
        <x:v>0.6</x:v>
      </x:c>
      <x:c r="F75" s="47" t="n">
        <x:v>0.6</x:v>
      </x:c>
      <x:c r="G75" s="47" t="n">
        <x:v>0.6</x:v>
      </x:c>
      <x:c r="H75" s="30" t="n">
        <x:v>0.3</x:v>
      </x:c>
      <x:c r="I75" s="48" t="n">
        <x:f>E75*H75</x:f>
        <x:v>0.18</x:v>
      </x:c>
      <x:c r="J75" s="48" t="n">
        <x:f>F75*H75</x:f>
        <x:v>0.18</x:v>
      </x:c>
      <x:c r="K75" s="48" t="n">
        <x:f>G75*H75</x:f>
        <x:v>0.18</x:v>
      </x:c>
      <x:c r="L75" s="28" t="str">
        <x:v>NEW hospitality layer</x:v>
      </x:c>
      <x:c r="M75" s="28" t="str">
        <x:v>Low-Medium</x:v>
      </x:c>
      <x:c r="N75" s="28" t="str">
        <x:v>User source hypothesis</x:v>
      </x:c>
    </x:row>
    <x:row r="76">
      <x:c r="A76" s="28" t="str">
        <x:v>Canyon Ranch</x:v>
      </x:c>
      <x:c r="B76" s="28" t="str">
        <x:v>Tucson &amp; Las Vegas</x:v>
      </x:c>
      <x:c r="C76" s="28" t="str">
        <x:v>Hospitality / spa</x:v>
      </x:c>
      <x:c r="D76" s="28" t="str">
        <x:v>Source-document hypothesis</x:v>
      </x:c>
      <x:c r="E76" s="47" t="n">
        <x:v>0.8</x:v>
      </x:c>
      <x:c r="F76" s="47" t="n">
        <x:v>0.8</x:v>
      </x:c>
      <x:c r="G76" s="47" t="n">
        <x:v>0.8</x:v>
      </x:c>
      <x:c r="H76" s="30" t="n">
        <x:v>0.3</x:v>
      </x:c>
      <x:c r="I76" s="48" t="n">
        <x:f>E76*H76</x:f>
        <x:v>0.24</x:v>
      </x:c>
      <x:c r="J76" s="48" t="n">
        <x:f>F76*H76</x:f>
        <x:v>0.24</x:v>
      </x:c>
      <x:c r="K76" s="48" t="n">
        <x:f>G76*H76</x:f>
        <x:v>0.24</x:v>
      </x:c>
      <x:c r="L76" s="28" t="str">
        <x:v>NEW hospitality layer</x:v>
      </x:c>
      <x:c r="M76" s="28" t="str">
        <x:v>Low-Medium</x:v>
      </x:c>
      <x:c r="N76" s="28" t="str">
        <x:v>User source hypothesis</x:v>
      </x:c>
    </x:row>
    <x:row r="77">
      <x:c r="A77" s="28" t="str">
        <x:v>Lanserhof Medical Spa</x:v>
      </x:c>
      <x:c r="B77" s="28" t="str">
        <x:v>Germany / Austria</x:v>
      </x:c>
      <x:c r="C77" s="28" t="str">
        <x:v>Hospitality / spa</x:v>
      </x:c>
      <x:c r="D77" s="28" t="str">
        <x:v>Source-document hypothesis</x:v>
      </x:c>
      <x:c r="E77" s="47" t="n">
        <x:v>0.7</x:v>
      </x:c>
      <x:c r="F77" s="47" t="n">
        <x:v>0.7</x:v>
      </x:c>
      <x:c r="G77" s="47" t="n">
        <x:v>0.7</x:v>
      </x:c>
      <x:c r="H77" s="30" t="n">
        <x:v>0.3</x:v>
      </x:c>
      <x:c r="I77" s="48" t="n">
        <x:f>E77*H77</x:f>
        <x:v>0.21</x:v>
      </x:c>
      <x:c r="J77" s="48" t="n">
        <x:f>F77*H77</x:f>
        <x:v>0.21</x:v>
      </x:c>
      <x:c r="K77" s="48" t="n">
        <x:f>G77*H77</x:f>
        <x:v>0.21</x:v>
      </x:c>
      <x:c r="L77" s="28" t="str">
        <x:v>NEW hospitality layer</x:v>
      </x:c>
      <x:c r="M77" s="28" t="str">
        <x:v>Low-Medium</x:v>
      </x:c>
      <x:c r="N77" s="28" t="str">
        <x:v>User source hypothesis</x:v>
      </x:c>
    </x:row>
    <x:row r="78">
      <x:c r="A78" s="28" t="str">
        <x:v>Banyan Tree Spa Sanctuary</x:v>
      </x:c>
      <x:c r="B78" s="28" t="str">
        <x:v>Phuket</x:v>
      </x:c>
      <x:c r="C78" s="28" t="str">
        <x:v>Hospitality / spa</x:v>
      </x:c>
      <x:c r="D78" s="28" t="str">
        <x:v>Source-document hypothesis</x:v>
      </x:c>
      <x:c r="E78" s="47" t="n">
        <x:v>1</x:v>
      </x:c>
      <x:c r="F78" s="47" t="n">
        <x:v>1</x:v>
      </x:c>
      <x:c r="G78" s="47" t="n">
        <x:v>1</x:v>
      </x:c>
      <x:c r="H78" s="30" t="n">
        <x:v>0.3</x:v>
      </x:c>
      <x:c r="I78" s="48" t="n">
        <x:f>E78*H78</x:f>
        <x:v>0.3</x:v>
      </x:c>
      <x:c r="J78" s="48" t="n">
        <x:f>F78*H78</x:f>
        <x:v>0.3</x:v>
      </x:c>
      <x:c r="K78" s="48" t="n">
        <x:f>G78*H78</x:f>
        <x:v>0.3</x:v>
      </x:c>
      <x:c r="L78" s="28" t="str">
        <x:v>NEW hospitality layer</x:v>
      </x:c>
      <x:c r="M78" s="28" t="str">
        <x:v>Low-Medium</x:v>
      </x:c>
      <x:c r="N78" s="28" t="str">
        <x:v>User source hypothesis</x:v>
      </x:c>
    </x:row>
    <x:row r="79">
      <x:c r="A79" s="28" t="str">
        <x:v>Aman Spa Network</x:v>
      </x:c>
      <x:c r="B79" s="28" t="str">
        <x:v>Global resorts</x:v>
      </x:c>
      <x:c r="C79" s="28" t="str">
        <x:v>Hospitality / spa</x:v>
      </x:c>
      <x:c r="D79" s="28" t="str">
        <x:v>Source-document hypothesis</x:v>
      </x:c>
      <x:c r="E79" s="47" t="n">
        <x:v>3</x:v>
      </x:c>
      <x:c r="F79" s="47" t="n">
        <x:v>3</x:v>
      </x:c>
      <x:c r="G79" s="47" t="n">
        <x:v>3</x:v>
      </x:c>
      <x:c r="H79" s="30" t="n">
        <x:v>0.3</x:v>
      </x:c>
      <x:c r="I79" s="48" t="n">
        <x:f>E79*H79</x:f>
        <x:v>0.8999999999999999</x:v>
      </x:c>
      <x:c r="J79" s="48" t="n">
        <x:f>F79*H79</x:f>
        <x:v>0.8999999999999999</x:v>
      </x:c>
      <x:c r="K79" s="48" t="n">
        <x:f>G79*H79</x:f>
        <x:v>0.8999999999999999</x:v>
      </x:c>
      <x:c r="L79" s="28" t="str">
        <x:v>NEW hospitality layer</x:v>
      </x:c>
      <x:c r="M79" s="28" t="str">
        <x:v>Low-Medium</x:v>
      </x:c>
      <x:c r="N79" s="28" t="str">
        <x:v>User source hypothesis</x:v>
      </x:c>
    </x:row>
    <x:row r="80">
      <x:c r="A80" s="28" t="str">
        <x:v>The Peninsula Spa Network</x:v>
      </x:c>
      <x:c r="B80" s="28" t="str">
        <x:v>Spa network</x:v>
      </x:c>
      <x:c r="C80" s="28" t="str">
        <x:v>Hospitality / spa</x:v>
      </x:c>
      <x:c r="D80" s="28" t="str">
        <x:v>Source-document hypothesis</x:v>
      </x:c>
      <x:c r="E80" s="47" t="n">
        <x:v>2.5</x:v>
      </x:c>
      <x:c r="F80" s="47" t="n">
        <x:v>2.5</x:v>
      </x:c>
      <x:c r="G80" s="47" t="n">
        <x:v>2.5</x:v>
      </x:c>
      <x:c r="H80" s="30" t="n">
        <x:v>0.3</x:v>
      </x:c>
      <x:c r="I80" s="48" t="n">
        <x:f>E80*H80</x:f>
        <x:v>0.75</x:v>
      </x:c>
      <x:c r="J80" s="48" t="n">
        <x:f>F80*H80</x:f>
        <x:v>0.75</x:v>
      </x:c>
      <x:c r="K80" s="48" t="n">
        <x:f>G80*H80</x:f>
        <x:v>0.75</x:v>
      </x:c>
      <x:c r="L80" s="28" t="str">
        <x:v>NEW hospitality layer</x:v>
      </x:c>
      <x:c r="M80" s="28" t="str">
        <x:v>Low-Medium</x:v>
      </x:c>
      <x:c r="N80" s="28" t="str">
        <x:v>User source hypothesis</x:v>
      </x:c>
    </x:row>
    <x:row r="81">
      <x:c r="A81" s="28" t="str">
        <x:v>Raffles Spa Network</x:v>
      </x:c>
      <x:c r="B81" s="28" t="str">
        <x:v>Spa network</x:v>
      </x:c>
      <x:c r="C81" s="28" t="str">
        <x:v>Hospitality / spa</x:v>
      </x:c>
      <x:c r="D81" s="28" t="str">
        <x:v>Source-document hypothesis</x:v>
      </x:c>
      <x:c r="E81" s="47" t="n">
        <x:v>2</x:v>
      </x:c>
      <x:c r="F81" s="47" t="n">
        <x:v>2</x:v>
      </x:c>
      <x:c r="G81" s="47" t="n">
        <x:v>2</x:v>
      </x:c>
      <x:c r="H81" s="30" t="n">
        <x:v>0.3</x:v>
      </x:c>
      <x:c r="I81" s="48" t="n">
        <x:f>E81*H81</x:f>
        <x:v>0.6</x:v>
      </x:c>
      <x:c r="J81" s="48" t="n">
        <x:f>F81*H81</x:f>
        <x:v>0.6</x:v>
      </x:c>
      <x:c r="K81" s="48" t="n">
        <x:f>G81*H81</x:f>
        <x:v>0.6</x:v>
      </x:c>
      <x:c r="L81" s="28" t="str">
        <x:v>NEW hospitality layer</x:v>
      </x:c>
      <x:c r="M81" s="28" t="str">
        <x:v>Low-Medium</x:v>
      </x:c>
      <x:c r="N81" s="28" t="str">
        <x:v>User source hypothesis</x:v>
      </x:c>
    </x:row>
    <x:row r="82">
      <x:c r="A82" s="28" t="str">
        <x:v>One&amp;Only Spa Network</x:v>
      </x:c>
      <x:c r="B82" s="28" t="str">
        <x:v>Spa network</x:v>
      </x:c>
      <x:c r="C82" s="28" t="str">
        <x:v>Hospitality / spa</x:v>
      </x:c>
      <x:c r="D82" s="28" t="str">
        <x:v>Source-document hypothesis</x:v>
      </x:c>
      <x:c r="E82" s="47" t="n">
        <x:v>2.5</x:v>
      </x:c>
      <x:c r="F82" s="47" t="n">
        <x:v>2.5</x:v>
      </x:c>
      <x:c r="G82" s="47" t="n">
        <x:v>2.5</x:v>
      </x:c>
      <x:c r="H82" s="30" t="n">
        <x:v>0.3</x:v>
      </x:c>
      <x:c r="I82" s="48" t="n">
        <x:f>E82*H82</x:f>
        <x:v>0.75</x:v>
      </x:c>
      <x:c r="J82" s="48" t="n">
        <x:f>F82*H82</x:f>
        <x:v>0.75</x:v>
      </x:c>
      <x:c r="K82" s="48" t="n">
        <x:f>G82*H82</x:f>
        <x:v>0.75</x:v>
      </x:c>
      <x:c r="L82" s="28" t="str">
        <x:v>NEW hospitality layer</x:v>
      </x:c>
      <x:c r="M82" s="28" t="str">
        <x:v>Low-Medium</x:v>
      </x:c>
      <x:c r="N82" s="28" t="str">
        <x:v>User source hypothesis</x:v>
      </x:c>
    </x:row>
    <x:row r="83">
      <x:c r="A83" s="28" t="str">
        <x:v>Rosewood Sense Spa Network</x:v>
      </x:c>
      <x:c r="B83" s="28" t="str">
        <x:v>Spa network</x:v>
      </x:c>
      <x:c r="C83" s="28" t="str">
        <x:v>Hospitality / spa</x:v>
      </x:c>
      <x:c r="D83" s="28" t="str">
        <x:v>Source-document hypothesis</x:v>
      </x:c>
      <x:c r="E83" s="47" t="n">
        <x:v>2</x:v>
      </x:c>
      <x:c r="F83" s="47" t="n">
        <x:v>2</x:v>
      </x:c>
      <x:c r="G83" s="47" t="n">
        <x:v>2</x:v>
      </x:c>
      <x:c r="H83" s="30" t="n">
        <x:v>0.3</x:v>
      </x:c>
      <x:c r="I83" s="48" t="n">
        <x:f>E83*H83</x:f>
        <x:v>0.6</x:v>
      </x:c>
      <x:c r="J83" s="48" t="n">
        <x:f>F83*H83</x:f>
        <x:v>0.6</x:v>
      </x:c>
      <x:c r="K83" s="48" t="n">
        <x:f>G83*H83</x:f>
        <x:v>0.6</x:v>
      </x:c>
      <x:c r="L83" s="28" t="str">
        <x:v>NEW hospitality layer</x:v>
      </x:c>
      <x:c r="M83" s="28" t="str">
        <x:v>Low-Medium</x:v>
      </x:c>
      <x:c r="N83" s="28" t="str">
        <x:v>User source hypothesis</x:v>
      </x:c>
    </x:row>
    <x:row r="84">
      <x:c r="A84" s="28" t="str">
        <x:v>Miraval Resorts &amp; Spas</x:v>
      </x:c>
      <x:c r="B84" s="28" t="str">
        <x:v>Resorts &amp; spas</x:v>
      </x:c>
      <x:c r="C84" s="28" t="str">
        <x:v>Hospitality / spa</x:v>
      </x:c>
      <x:c r="D84" s="28" t="str">
        <x:v>Source-document hypothesis</x:v>
      </x:c>
      <x:c r="E84" s="47" t="n">
        <x:v>0.6</x:v>
      </x:c>
      <x:c r="F84" s="47" t="n">
        <x:v>0.6</x:v>
      </x:c>
      <x:c r="G84" s="47" t="n">
        <x:v>0.6</x:v>
      </x:c>
      <x:c r="H84" s="30" t="n">
        <x:v>0.3</x:v>
      </x:c>
      <x:c r="I84" s="48" t="n">
        <x:f>E84*H84</x:f>
        <x:v>0.18</x:v>
      </x:c>
      <x:c r="J84" s="48" t="n">
        <x:f>F84*H84</x:f>
        <x:v>0.18</x:v>
      </x:c>
      <x:c r="K84" s="48" t="n">
        <x:f>G84*H84</x:f>
        <x:v>0.18</x:v>
      </x:c>
      <x:c r="L84" s="28" t="str">
        <x:v>NEW hospitality layer</x:v>
      </x:c>
      <x:c r="M84" s="28" t="str">
        <x:v>Low-Medium</x:v>
      </x:c>
      <x:c r="N84" s="28" t="str">
        <x:v>User source hypothesis</x:v>
      </x:c>
    </x:row>
    <x:row r="85">
      <x:c r="A85" s="28" t="str">
        <x:v>Chiva-Som</x:v>
      </x:c>
      <x:c r="B85" s="28" t="str">
        <x:v>Thailand</x:v>
      </x:c>
      <x:c r="C85" s="28" t="str">
        <x:v>Hospitality / spa</x:v>
      </x:c>
      <x:c r="D85" s="28" t="str">
        <x:v>Source-document hypothesis</x:v>
      </x:c>
      <x:c r="E85" s="47" t="n">
        <x:v>0.4</x:v>
      </x:c>
      <x:c r="F85" s="47" t="n">
        <x:v>0.4</x:v>
      </x:c>
      <x:c r="G85" s="47" t="n">
        <x:v>0.4</x:v>
      </x:c>
      <x:c r="H85" s="30" t="n">
        <x:v>0.3</x:v>
      </x:c>
      <x:c r="I85" s="48" t="n">
        <x:f>E85*H85</x:f>
        <x:v>0.12</x:v>
      </x:c>
      <x:c r="J85" s="48" t="n">
        <x:f>F85*H85</x:f>
        <x:v>0.12</x:v>
      </x:c>
      <x:c r="K85" s="48" t="n">
        <x:f>G85*H85</x:f>
        <x:v>0.12</x:v>
      </x:c>
      <x:c r="L85" s="28" t="str">
        <x:v>NEW hospitality layer</x:v>
      </x:c>
      <x:c r="M85" s="28" t="str">
        <x:v>Low-Medium</x:v>
      </x:c>
      <x:c r="N85" s="28" t="str">
        <x:v>User source hypothesis</x:v>
      </x:c>
    </x:row>
    <x:row r="86">
      <x:c r="A86" s="28" t="str">
        <x:v>Kohler Waters Spa</x:v>
      </x:c>
      <x:c r="B86" s="28" t="str">
        <x:v>Spa</x:v>
      </x:c>
      <x:c r="C86" s="28" t="str">
        <x:v>Hospitality / spa</x:v>
      </x:c>
      <x:c r="D86" s="28" t="str">
        <x:v>Source-document hypothesis</x:v>
      </x:c>
      <x:c r="E86" s="47" t="n">
        <x:v>0.3</x:v>
      </x:c>
      <x:c r="F86" s="47" t="n">
        <x:v>0.3</x:v>
      </x:c>
      <x:c r="G86" s="47" t="n">
        <x:v>0.3</x:v>
      </x:c>
      <x:c r="H86" s="30" t="n">
        <x:v>0.3</x:v>
      </x:c>
      <x:c r="I86" s="48" t="n">
        <x:f>E86*H86</x:f>
        <x:v>0.09</x:v>
      </x:c>
      <x:c r="J86" s="48" t="n">
        <x:f>F86*H86</x:f>
        <x:v>0.09</x:v>
      </x:c>
      <x:c r="K86" s="48" t="n">
        <x:f>G86*H86</x:f>
        <x:v>0.09</x:v>
      </x:c>
      <x:c r="L86" s="28" t="str">
        <x:v>NEW hospitality layer</x:v>
      </x:c>
      <x:c r="M86" s="28" t="str">
        <x:v>Low-Medium</x:v>
      </x:c>
      <x:c r="N86" s="28" t="str">
        <x:v>User source hypothesis</x:v>
      </x:c>
    </x:row>
    <x:row r="87">
      <x:c r="A87" s="28" t="str">
        <x:v>Bleckmann Global Logistics</x:v>
      </x:c>
      <x:c r="B87" s="28" t="str">
        <x:v>Fulfillment</x:v>
      </x:c>
      <x:c r="C87" s="28" t="str">
        <x:v>Private infrastructure</x:v>
      </x:c>
      <x:c r="D87" s="28" t="str">
        <x:v>Source-document asset-base hypothesis</x:v>
      </x:c>
      <x:c r="E87" s="47" t="n">
        <x:v>2</x:v>
      </x:c>
      <x:c r="F87" s="47" t="n">
        <x:v>2</x:v>
      </x:c>
      <x:c r="G87" s="47" t="n">
        <x:v>2</x:v>
      </x:c>
      <x:c r="H87" s="30" t="n">
        <x:v>1</x:v>
      </x:c>
      <x:c r="I87" s="48" t="n">
        <x:f>E87*H87</x:f>
        <x:v>2</x:v>
      </x:c>
      <x:c r="J87" s="48" t="n">
        <x:f>F87*H87</x:f>
        <x:v>2</x:v>
      </x:c>
      <x:c r="K87" s="48" t="n">
        <x:f>G87*H87</x:f>
        <x:v>2</x:v>
      </x:c>
      <x:c r="L87" s="28" t="str">
        <x:v>100% outright acquisition in source</x:v>
      </x:c>
      <x:c r="M87" s="28" t="str">
        <x:v>Medium</x:v>
      </x:c>
      <x:c r="N87" s="28" t="str">
        <x:v>User source hypothesis</x:v>
      </x:c>
    </x:row>
    <x:row r="88">
      <x:c r="A88" s="28" t="str">
        <x:v>Crown Logistics</x:v>
      </x:c>
      <x:c r="B88" s="28" t="str">
        <x:v>Secure freight</x:v>
      </x:c>
      <x:c r="C88" s="28" t="str">
        <x:v>Private infrastructure</x:v>
      </x:c>
      <x:c r="D88" s="28" t="str">
        <x:v>Source-document asset-base hypothesis</x:v>
      </x:c>
      <x:c r="E88" s="47" t="n">
        <x:v>1</x:v>
      </x:c>
      <x:c r="F88" s="47" t="n">
        <x:v>1</x:v>
      </x:c>
      <x:c r="G88" s="47" t="n">
        <x:v>1</x:v>
      </x:c>
      <x:c r="H88" s="30" t="n">
        <x:v>1</x:v>
      </x:c>
      <x:c r="I88" s="48" t="n">
        <x:f>E88*H88</x:f>
        <x:v>1</x:v>
      </x:c>
      <x:c r="J88" s="48" t="n">
        <x:f>F88*H88</x:f>
        <x:v>1</x:v>
      </x:c>
      <x:c r="K88" s="48" t="n">
        <x:f>G88*H88</x:f>
        <x:v>1</x:v>
      </x:c>
      <x:c r="L88" s="28" t="str">
        <x:v>100% outright acquisition in source</x:v>
      </x:c>
      <x:c r="M88" s="28" t="str">
        <x:v>Medium</x:v>
      </x:c>
      <x:c r="N88" s="28" t="str">
        <x:v>User source hypothesis</x:v>
      </x:c>
    </x:row>
    <x:row r="89">
      <x:c r="A89" s="28" t="str">
        <x:v>Como Silk Textile Weaving Cooperatives</x:v>
      </x:c>
      <x:c r="B89" s="28" t="str">
        <x:v>Textile infrastructure</x:v>
      </x:c>
      <x:c r="C89" s="28" t="str">
        <x:v>Private infrastructure</x:v>
      </x:c>
      <x:c r="D89" s="28" t="str">
        <x:v>Source-document asset-base hypothesis</x:v>
      </x:c>
      <x:c r="E89" s="47" t="n">
        <x:v>0.5</x:v>
      </x:c>
      <x:c r="F89" s="47" t="n">
        <x:v>0.5</x:v>
      </x:c>
      <x:c r="G89" s="47" t="n">
        <x:v>0.5</x:v>
      </x:c>
      <x:c r="H89" s="30" t="n">
        <x:v>1</x:v>
      </x:c>
      <x:c r="I89" s="48" t="n">
        <x:f>E89*H89</x:f>
        <x:v>0.5</x:v>
      </x:c>
      <x:c r="J89" s="48" t="n">
        <x:f>F89*H89</x:f>
        <x:v>0.5</x:v>
      </x:c>
      <x:c r="K89" s="48" t="n">
        <x:f>G89*H89</x:f>
        <x:v>0.5</x:v>
      </x:c>
      <x:c r="L89" s="28" t="str">
        <x:v>100% outright acquisition in source</x:v>
      </x:c>
      <x:c r="M89" s="28" t="str">
        <x:v>Medium</x:v>
      </x:c>
      <x:c r="N89" s="28" t="str">
        <x:v>User source hypothesis</x:v>
      </x:c>
    </x:row>
  </x:sheetData>
  <x:conditionalFormatting sqref="M2:M39">
    <x:cfRule type="expression" dxfId="0" priority="1">
      <x:formula>LEFT(M2,3)="Low"</x:formula>
    </x:cfRule>
    <x:cfRule type="expression" dxfId="1" priority="2">
      <x:formula>M2="High"</x:formula>
    </x:cfRule>
  </x:conditionalFormatting>
  <x:pageMargins left="0.7" right="0.7" top="0.75" bottom="0.75" header="0.3" footer="0.3"/>
  <x:tableParts count="1">
    <x:tablePart xmlns:r="http://schemas.openxmlformats.org/officeDocument/2006/relationships" r:id="R1e11932de7294051"/>
  </x:tableParts>
</x:worksheet>
</file>

<file path=xl/worksheets/sheet2.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60" hidden="0" customWidth="1"/>
  </x:cols>
  <x:sheetData>
    <x:row r="1">
      <x:c r="A1" s="6" t="str">
        <x:v>Assumption</x:v>
      </x:c>
      <x:c r="B1" s="6" t="str">
        <x:v>Value</x:v>
      </x:c>
      <x:c r="C1" s="6" t="str">
        <x:v>Status</x:v>
      </x:c>
      <x:c r="D1" s="6" t="str">
        <x:v>Notes</x:v>
      </x:c>
    </x:row>
    <x:row r="2">
      <x:c r="A2" s="28" t="str">
        <x:v>Majority/control stake</x:v>
      </x:c>
      <x:c r="B2" s="28" t="n">
        <x:v>0.51</x:v>
      </x:c>
      <x:c r="C2" s="28" t="str">
        <x:v>From Jim source map</x:v>
      </x:c>
      <x:c r="D2" s="28" t="str">
        <x:v>Used for majority/control positions</x:v>
      </x:c>
    </x:row>
    <x:row r="3">
      <x:c r="A3" s="28" t="str">
        <x:v>Strong minority midpoint</x:v>
      </x:c>
      <x:c r="B3" s="28" t="n">
        <x:v>0.3</x:v>
      </x:c>
      <x:c r="C3" s="28" t="str">
        <x:v>Model assumption</x:v>
      </x:c>
      <x:c r="D3" s="28" t="str">
        <x:v>Midpoint of source-map 25%-35% range</x:v>
      </x:c>
    </x:row>
    <x:row r="4">
      <x:c r="A4" s="28" t="str">
        <x:v>Infrastructure working stake</x:v>
      </x:c>
      <x:c r="B4" s="28" t="n">
        <x:v>0.75</x:v>
      </x:c>
      <x:c r="C4" s="28" t="str">
        <x:v>Model assumption</x:v>
      </x:c>
      <x:c r="D4" s="28" t="str">
        <x:v>Used where source says 100% or absolute-majority but exact stake unresolved</x:v>
      </x:c>
    </x:row>
    <x:row r="5">
      <x:c r="A5" s="28" t="str">
        <x:v>Athena diversification portfolio ($B)</x:v>
      </x:c>
      <x:c r="B5" s="28" t="n">
        <x:v>400</x:v>
      </x:c>
      <x:c r="C5" s="28" t="str">
        <x:v>Canon in development</x:v>
      </x:c>
      <x:c r="D5" s="28" t="str">
        <x:v>Separate from Fashion Empire</x:v>
      </x:c>
    </x:row>
    <x:row r="6">
      <x:c r="A6" s="28" t="str">
        <x:v>Valuation date</x:v>
      </x:c>
      <x:c r="B6" s="28" t="str">
        <x:v>2026-09-10</x:v>
      </x:c>
      <x:c r="C6" s="28" t="str">
        <x:v>Current survey</x:v>
      </x:c>
      <x:c r="D6" s="28" t="str">
        <x:v>Public market values move</x:v>
      </x:c>
    </x:row>
    <x:row r="7">
      <x:c r="A7" s="28" t="str">
        <x:v>Currency</x:v>
      </x:c>
      <x:c r="B7" s="28" t="str">
        <x:v>USD billions</x:v>
      </x:c>
      <x:c r="C7" s="28" t="str">
        <x:v>Model convention</x:v>
      </x:c>
      <x:c r="D7" s="28" t="str">
        <x:v>Private foreign transaction anchors bracketed</x:v>
      </x:c>
    </x:row>
    <x:row r="8">
      <x:c r="A8" s="28" t="str">
        <x:v>Private low/mid/high</x:v>
      </x:c>
      <x:c r="B8" s="28" t="str">
        <x:v>Scenario range</x:v>
      </x:c>
      <x:c r="C8" s="28" t="str">
        <x:v>Hypothesis</x:v>
      </x:c>
      <x:c r="D8" s="28" t="str">
        <x:v>Not factual market caps</x:v>
      </x:c>
    </x:row>
    <x:row r="9">
      <x:c r="A9" s="28" t="str">
        <x:v>Top-100 source</x:v>
      </x:c>
      <x:c r="B9" s="28" t="str">
        <x:v>the fashion empire.docx</x:v>
      </x:c>
      <x:c r="C9" s="28" t="str">
        <x:v>Historical recovery source</x:v>
      </x:c>
      <x:c r="D9" s="28" t="str">
        <x:v>Roster + target ownership logic</x:v>
      </x:c>
    </x:row>
    <x:row r="10">
      <x:c r="A10" s="28" t="str">
        <x:v>Double-counting rule</x:v>
      </x:c>
      <x:c r="B10" s="28" t="str">
        <x:v>Parent once</x:v>
      </x:c>
      <x:c r="C10" s="28" t="str">
        <x:v>Hard model rule</x:v>
      </x:c>
      <x:c r="D10" s="28" t="str">
        <x:v>No child brands on top of valued parent</x:v>
      </x:c>
    </x:row>
  </x:sheetData>
  <x:pageMargins left="0.7" right="0.7" top="0.75" bottom="0.75" header="0.3" footer="0.3"/>
  <x:tableParts count="1">
    <x:tablePart xmlns:r="http://schemas.openxmlformats.org/officeDocument/2006/relationships" r:id="Raa746e499613422b"/>
  </x:tableParts>
</x:worksheet>
</file>

<file path=xl/worksheets/sheet3.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18" hidden="0" customWidth="1"/>
    <x:col min="5" max="5" width="18" hidden="0" customWidth="1"/>
    <x:col min="6" max="6" width="18" hidden="0" customWidth="1"/>
  </x:cols>
  <x:sheetData>
    <x:row r="1">
      <x:c r="A1" s="36" t="str">
        <x:v>FASHION EMPIRE VALUATION - WORKING SURVEY</x:v>
      </x:c>
      <x:c r="B1" s="36" t="str"/>
      <x:c r="C1" s="36" t="str"/>
      <x:c r="D1" s="36" t="str"/>
      <x:c r="E1" s="36" t="str"/>
      <x:c r="F1" s="36" t="str"/>
    </x:row>
    <x:row r="2">
      <x:c r="A2" s="28"/>
      <x:c r="B2" s="28"/>
      <x:c r="C2" s="28"/>
      <x:c r="D2" s="28"/>
      <x:c r="E2" s="28"/>
      <x:c r="F2" s="28"/>
    </x:row>
    <x:row r="3">
      <x:c r="A3" s="4" t="str">
        <x:v>Metric</x:v>
      </x:c>
      <x:c r="B3" s="4" t="str">
        <x:v>$B</x:v>
      </x:c>
      <x:c r="C3" s="28"/>
      <x:c r="D3" s="4" t="str">
        <x:v>Scenario</x:v>
      </x:c>
      <x:c r="E3" s="4" t="str">
        <x:v>Attributable value ($B)</x:v>
      </x:c>
      <x:c r="F3" s="28"/>
    </x:row>
    <x:row r="4">
      <x:c r="A4" s="28" t="str">
        <x:v>Low gross attributable value</x:v>
      </x:c>
      <x:c r="B4" s="37" t="n">
        <x:f>SUM('Valuation Grid'!I2:I89)</x:f>
        <x:v>361.41979999999967</x:v>
      </x:c>
      <x:c r="C4" s="28"/>
      <x:c r="D4" s="28" t="str">
        <x:v>Low</x:v>
      </x:c>
      <x:c r="E4" s="28" t="n">
        <x:f>B4</x:f>
        <x:v>361.41979999999967</x:v>
      </x:c>
      <x:c r="F4" s="28"/>
    </x:row>
    <x:row r="5">
      <x:c r="A5" s="28" t="str">
        <x:v>Mid gross attributable value</x:v>
      </x:c>
      <x:c r="B5" s="37" t="n">
        <x:f>SUM('Valuation Grid'!J2:J89)</x:f>
        <x:v>372.4747999999998</x:v>
      </x:c>
      <x:c r="C5" s="28"/>
      <x:c r="D5" s="28" t="str">
        <x:v>Mid</x:v>
      </x:c>
      <x:c r="E5" s="28" t="n">
        <x:f>B5</x:f>
        <x:v>372.4747999999998</x:v>
      </x:c>
      <x:c r="F5" s="28"/>
    </x:row>
    <x:row r="6">
      <x:c r="A6" s="28" t="str">
        <x:v>High gross attributable value</x:v>
      </x:c>
      <x:c r="B6" s="37" t="n">
        <x:f>SUM('Valuation Grid'!K2:K89)</x:f>
        <x:v>387.6547999999997</x:v>
      </x:c>
      <x:c r="C6" s="28"/>
      <x:c r="D6" s="28" t="str">
        <x:v>High</x:v>
      </x:c>
      <x:c r="E6" s="28" t="n">
        <x:f>B6</x:f>
        <x:v>387.6547999999997</x:v>
      </x:c>
      <x:c r="F6" s="28"/>
    </x:row>
    <x:row r="7">
      <x:c r="A7" s="28" t="str">
        <x:v>Athena diversification portfolio (separate)</x:v>
      </x:c>
      <x:c r="B7" s="38" t="n">
        <x:v>400</x:v>
      </x:c>
      <x:c r="C7" s="28"/>
      <x:c r="D7" s="28"/>
      <x:c r="E7" s="28"/>
      <x:c r="F7" s="28"/>
    </x:row>
    <x:row r="8">
      <x:c r="A8" s="28" t="str">
        <x:v>Low combined before Metis/Techne/personal</x:v>
      </x:c>
      <x:c r="B8" s="38" t="n">
        <x:f>B4+B7</x:f>
        <x:v>761.4197999999997</x:v>
      </x:c>
      <x:c r="C8" s="28"/>
      <x:c r="D8" s="28"/>
      <x:c r="E8" s="28"/>
      <x:c r="F8" s="28"/>
    </x:row>
    <x:row r="9">
      <x:c r="A9" s="28" t="str">
        <x:v>Mid combined before Metis/Techne/personal</x:v>
      </x:c>
      <x:c r="B9" s="38" t="n">
        <x:f>B5+B7</x:f>
        <x:v>772.4747999999997</x:v>
      </x:c>
      <x:c r="C9" s="28"/>
      <x:c r="D9" s="28"/>
      <x:c r="E9" s="28"/>
      <x:c r="F9" s="28"/>
    </x:row>
    <x:row r="10">
      <x:c r="A10" s="28"/>
      <x:c r="B10" s="28"/>
      <x:c r="C10" s="28"/>
      <x:c r="D10" s="28"/>
      <x:c r="E10" s="28"/>
      <x:c r="F10" s="28"/>
    </x:row>
    <x:row r="11">
      <x:c r="A11" s="4" t="str">
        <x:v>IMPORTANT AUDIT NOTES</x:v>
      </x:c>
      <x:c r="B11" s="4" t="str"/>
      <x:c r="C11" s="4" t="str"/>
      <x:c r="D11" s="4" t="str"/>
      <x:c r="E11" s="4" t="str"/>
      <x:c r="F11" s="4" t="str"/>
    </x:row>
    <x:row r="12">
      <x:c r="A12" s="28" t="str">
        <x:v>1</x:v>
      </x:c>
      <x:c r="B12" s="28" t="str">
        <x:v>Survey grid, not canon lock. Public rows are current data; private rows are explicit hypotheses.</x:v>
      </x:c>
      <x:c r="C12" s="28" t="str"/>
      <x:c r="D12" s="28" t="str"/>
      <x:c r="E12" s="28" t="str"/>
      <x:c r="F12" s="28" t="str"/>
    </x:row>
    <x:row r="13">
      <x:c r="A13" s="28" t="str">
        <x:v>2</x:v>
      </x:c>
      <x:c r="B13" s="28" t="str">
        <x:v>Parent-company market caps are counted once; child brands are not separately added.</x:v>
      </x:c>
      <x:c r="C13" s="28" t="str"/>
      <x:c r="D13" s="28" t="str"/>
      <x:c r="E13" s="28" t="str"/>
      <x:c r="F13" s="28" t="str"/>
    </x:row>
    <x:row r="14">
      <x:c r="A14" s="28" t="str">
        <x:v>3</x:v>
      </x:c>
      <x:c r="B14" s="28" t="str">
        <x:v>Valentino is visible but may overlap Kering; remove if Jim's exposure is only through Kering.</x:v>
      </x:c>
      <x:c r="C14" s="28" t="str"/>
      <x:c r="D14" s="28" t="str"/>
      <x:c r="E14" s="28" t="str"/>
      <x:c r="F14" s="28" t="str"/>
    </x:row>
    <x:row r="15">
      <x:c r="A15" s="28" t="str">
        <x:v>4</x:v>
      </x:c>
      <x:c r="B15" s="28" t="str">
        <x:v>Patronage-plan houses may not be acquisition holdings; reconcile before canonizing totals.</x:v>
      </x:c>
      <x:c r="C15" s="28" t="str"/>
      <x:c r="D15" s="28" t="str"/>
      <x:c r="E15" s="28" t="str"/>
      <x:c r="F15" s="28" t="str"/>
    </x:row>
    <x:row r="16">
      <x:c r="A16" s="28" t="str">
        <x:v>5</x:v>
      </x:c>
      <x:c r="B16" s="28" t="str">
        <x:v>Metis, Techne, personal/family assets, Artemis growth and later Patronage appreciation are excluded.</x:v>
      </x:c>
      <x:c r="C16" s="28" t="str"/>
      <x:c r="D16" s="28" t="str"/>
      <x:c r="E16" s="28" t="str"/>
      <x:c r="F16" s="28" t="str"/>
    </x:row>
    <x:row r="17">
      <x:c r="A17" t="str">
        <x:v>UPDATED FROM FINAL-USE SOURCE</x:v>
      </x:c>
      <x:c r="B17" t="str"/>
      <x:c r="C17" t="str"/>
      <x:c r="D17" t="str"/>
      <x:c r="E17" t="str"/>
      <x:c r="F17" t="str"/>
    </x:row>
    <x:row r="18">
      <x:c r="A18" t="str">
        <x:v>6</x:v>
      </x:c>
      <x:c r="B18" t="str">
        <x:v>Added explicit OTB, missing independent houses, the full hospitality/spa portfolio, and explicit Bleckmann/Crown/Como rows.</x:v>
      </x:c>
      <x:c r="C18" t="str"/>
      <x:c r="D18" t="str"/>
      <x:c r="E18" t="str"/>
      <x:c r="F18" t="str"/>
    </x:row>
    <x:row r="19">
      <x:c r="A19" t="str">
        <x:v>7</x:v>
      </x:c>
      <x:c r="B19" t="str">
        <x:v>Old aggregate baskets remain visible for archaeology but have 0% stake so they do not double count.</x:v>
      </x:c>
      <x:c r="C19" t="str"/>
      <x:c r="D19" t="str"/>
      <x:c r="E19" t="str"/>
      <x:c r="F19" t="str"/>
    </x:row>
    <x:row r="20">
      <x:c r="A20" t="str">
        <x:v>8</x:v>
      </x:c>
      <x:c r="B20" t="str">
        <x:v>Loro Piana is preserved as a source row but excluded from the total because LVMH is already counted.</x:v>
      </x:c>
      <x:c r="C20" t="str"/>
      <x:c r="D20" t="str"/>
      <x:c r="E20" t="str"/>
      <x:c r="F20" t="str"/>
    </x:row>
  </x:sheetData>
  <x:mergeCells>
    <x:mergeCell ref="A1:F1"/>
    <x:mergeCell ref="A11:F11"/>
    <x:mergeCell ref="B12:F12"/>
    <x:mergeCell ref="B13:F13"/>
    <x:mergeCell ref="B14:F14"/>
    <x:mergeCell ref="B15:F15"/>
    <x:mergeCell ref="B16:F16"/>
    <x:mergeCell ref="A17:F17"/>
    <x:mergeCell ref="B18:F18"/>
    <x:mergeCell ref="B19:F19"/>
    <x:mergeCell ref="B20:F20"/>
  </x:mergeCells>
  <x:pageMargins left="0.7" right="0.7" top="0.75" bottom="0.75" header="0.3" footer="0.3"/>
  <x:drawing xmlns:r="http://schemas.openxmlformats.org/officeDocument/2006/relationships" r:id="R9555068f14cf41c5"/>
</x:worksheet>
</file>