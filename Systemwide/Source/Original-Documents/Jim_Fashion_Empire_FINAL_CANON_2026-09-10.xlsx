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ae0e5554f24e36" /></Relationships>
</file>

<file path=xl/workbook.xml><?xml version="1.0" encoding="utf-8"?>
<x:workbook xmlns:x="http://schemas.openxmlformats.org/spreadsheetml/2006/main">
  <x:sheets>
    <x:sheet xmlns:r="http://schemas.openxmlformats.org/officeDocument/2006/relationships" name="Valuation Grid" sheetId="1" r:id="R84352036df5b40c5"/>
    <x:sheet xmlns:r="http://schemas.openxmlformats.org/officeDocument/2006/relationships" name="Assumptions" sheetId="2" r:id="Reafb9824fa36420e"/>
    <x:sheet xmlns:r="http://schemas.openxmlformats.org/officeDocument/2006/relationships" name="Summary" sheetId="3" r:id="Ra16672d575794b96"/>
    <x:sheet xmlns:r="http://schemas.openxmlformats.org/officeDocument/2006/relationships" name="Manicured Fingers" sheetId="4" r:id="Rba048f3c1c9240ca"/>
    <x:sheet xmlns:r="http://schemas.openxmlformats.org/officeDocument/2006/relationships" name="Hats Bags Shiny Things" sheetId="5" r:id="Reef980e0a27441ab"/>
    <x:sheet xmlns:r="http://schemas.openxmlformats.org/officeDocument/2006/relationships" name="Shoes Athleisure Resort" sheetId="6" r:id="R007417c8d473478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00;[Red]($0.00);-"/>
  </x:numFmts>
  <x:fonts count="8">
    <x:font>
      <x:sz val="11"/>
      <x:name val="Carlito"/>
    </x:font>
    <x:font>
      <x:b/>
      <x:sz val="11"/>
      <x:color rgb="FFFFFFFF"/>
      <x:name val="Carlito"/>
    </x:font>
    <x:font>
      <x:b/>
      <x:sz val="16"/>
      <x:color rgb="FFFFFFFF"/>
      <x:name val="Carlito"/>
    </x:font>
    <x:font>
      <x:sz val="11"/>
      <x:color rgb="FF0000FF"/>
      <x:name val="Carlito"/>
    </x:font>
    <x:font>
      <x:sz val="11"/>
      <x:color rgb="FF000000"/>
      <x:name val="Carlito"/>
    </x:font>
    <x:font>
      <x:sz val="11"/>
      <x:color rgb="FF008000"/>
      <x:name val="Carlito"/>
    </x:font>
    <x:font>
      <x:b/>
      <x:sz val="15"/>
      <x:color rgb="FFFFFFFF"/>
      <x:name val="Carlito"/>
    </x:font>
    <x:font>
      <x:b/>
      <x:sz val="11"/>
      <x:name val="Carlito"/>
    </x:font>
  </x:fonts>
  <x:fills count="10">
    <x:fill>
      <x:patternFill patternType="none"/>
    </x:fill>
    <x:fill>
      <x:patternFill patternType="gray125"/>
    </x:fill>
    <x:fill>
      <x:patternFill patternType="solid">
        <x:fgColor rgb="FF17324D"/>
      </x:patternFill>
    </x:fill>
    <x:fill>
      <x:patternFill patternType="solid">
        <x:fgColor rgb="FF17365D"/>
      </x:patternFill>
    </x:fill>
    <x:fill>
      <x:patternFill patternType="solid">
        <x:fgColor rgb="FFD9EAD3"/>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17365D"/>
      </x:patternFill>
    </x:fill>
    <x:fill>
      <x:patternFill patternType="solid">
        <x:fgColor rgb="FFD9EAD3"/>
      </x:patternFill>
    </x:fill>
  </x:fills>
  <x:borders count="2">
    <x:border/>
    <x:border/>
  </x:borders>
  <x:cellStyleXfs count="1">
    <x:xf numFmtId="0" fontId="0" fillId="0" borderId="0"/>
  </x:cellStyleXfs>
  <x:cellXfs count="7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3" fillId="0" borderId="0" xfId="0" applyNumberFormat="1" applyFont="1" applyFill="1" applyBorder="1"/>
    <x:xf numFmtId="201" fontId="3" fillId="0" borderId="0" xfId="0" applyNumberFormat="1" applyFont="1" applyFill="1" applyBorder="1"/>
    <x:xf numFmtId="200" fontId="3" fillId="0" borderId="1" xfId="0" applyNumberFormat="1" applyFont="1" applyFill="1" applyBorder="1"/>
    <x:xf numFmtId="201" fontId="3" fillId="0" borderId="1" xfId="0" applyNumberFormat="1" applyFont="1" applyFill="1" applyBorder="1"/>
    <x:xf numFmtId="200" fontId="4" fillId="0" borderId="0" xfId="0" applyNumberFormat="1" applyFont="1" applyFill="1" applyBorder="1"/>
    <x:xf numFmtId="200" fontId="4" fillId="0" borderId="1" xfId="0" applyNumberFormat="1" applyFont="1" applyFill="1" applyBorder="1"/>
    <x:xf numFmtId="200" fontId="5" fillId="0" borderId="0" xfId="0" applyNumberFormat="1" applyFont="1" applyFill="1" applyBorder="1"/>
    <x:xf numFmtId="200" fontId="5" fillId="0" borderId="1" xfId="0" applyNumberFormat="1" applyFont="1" applyFill="1" applyBorder="1"/>
    <x:xf numFmtId="0" fontId="0" fillId="0" borderId="0" xfId="0" applyNumberFormat="1" applyFont="1" applyFill="1" applyBorder="1" applyAlignment="1">
      <x:alignment wrapText="1"/>
    </x:xf>
    <x:xf numFmtId="200" fontId="3" fillId="0" borderId="0" xfId="0" applyNumberFormat="1" applyFont="1" applyFill="1" applyBorder="1" applyAlignment="1">
      <x:alignment wrapText="1"/>
    </x:xf>
    <x:xf numFmtId="201" fontId="3" fillId="0" borderId="0" xfId="0" applyNumberFormat="1" applyFont="1" applyFill="1" applyBorder="1" applyAlignment="1">
      <x:alignment wrapText="1"/>
    </x:xf>
    <x:xf numFmtId="200" fontId="4"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3" fillId="0" borderId="1" xfId="0" applyNumberFormat="1" applyFont="1" applyFill="1" applyBorder="1" applyAlignment="1">
      <x:alignment wrapText="1"/>
    </x:xf>
    <x:xf numFmtId="201" fontId="3" fillId="0" borderId="1" xfId="0" applyNumberFormat="1" applyFont="1" applyFill="1" applyBorder="1" applyAlignment="1">
      <x:alignment wrapText="1"/>
    </x:xf>
    <x:xf numFmtId="200" fontId="4" fillId="0"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200" fontId="5"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2" fillId="2" borderId="1" xfId="0" applyNumberFormat="1" applyFont="1" applyFill="1" applyBorder="1" applyAlignment="1">
      <x:alignment horizontal="center" wrapText="1"/>
    </x:xf>
    <x:xf numFmtId="200" fontId="5"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0" fillId="0" borderId="0" xfId="0" applyNumberFormat="1" applyFont="1" applyFill="1" applyBorder="1"/>
    <x:xf numFmtId="202" fontId="0" fillId="0" borderId="0" xfId="0" applyNumberFormat="1" applyFont="1" applyFill="1" applyBorder="1"/>
    <x:xf numFmtId="202" fontId="3" fillId="0" borderId="0" xfId="0" applyNumberFormat="1" applyFont="1" applyFill="1" applyBorder="1"/>
    <x:xf numFmtId="202" fontId="4" fillId="0" borderId="0" xfId="0" applyNumberFormat="1" applyFont="1" applyFill="1" applyBorder="1"/>
    <x:xf numFmtId="202" fontId="3" fillId="0" borderId="0" xfId="0" applyNumberFormat="1" applyFont="1" applyFill="1" applyBorder="1" applyAlignment="1">
      <x:alignment wrapText="1"/>
    </x:xf>
    <x:xf numFmtId="202" fontId="4" fillId="0" borderId="0" xfId="0" applyNumberFormat="1" applyFont="1" applyFill="1" applyBorder="1" applyAlignment="1">
      <x:alignment wrapText="1"/>
    </x:xf>
    <x:xf numFmtId="0" fontId="0"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horizontal="left"/>
    </x:xf>
    <x:xf numFmtId="0" fontId="1" fillId="3" borderId="0" xfId="0" applyNumberFormat="1" applyFont="1" applyFill="1" applyBorder="1"/>
    <x:xf numFmtId="0" fontId="1" fillId="3" borderId="0" xfId="0" applyNumberFormat="1" applyFont="1" applyFill="1" applyBorder="1" applyAlignment="1">
      <x:alignment wrapText="1"/>
    </x:xf>
    <x:xf numFmtId="0" fontId="3" fillId="0" borderId="0" xfId="0" applyNumberFormat="1" applyFont="1" applyFill="1" applyBorder="1"/>
    <x:xf numFmtId="0" fontId="4" fillId="0" borderId="0" xfId="0" applyNumberFormat="1" applyFont="1" applyFill="1" applyBorder="1"/>
    <x:xf numFmtId="202" fontId="5" fillId="0" borderId="0" xfId="0" applyNumberFormat="1" applyFont="1" applyFill="1" applyBorder="1"/>
    <x:xf numFmtId="0" fontId="0" fillId="4" borderId="0"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1" fillId="5" borderId="0" xfId="0" applyNumberFormat="1" applyFont="1" applyFill="1" applyBorder="1" applyAlignment="1">
      <x:alignment wrapText="1"/>
    </x:xf>
    <x:xf numFmtId="0" fontId="0" fillId="3" borderId="0" xfId="0" applyNumberFormat="1" applyFont="1" applyFill="1" applyBorder="1" applyAlignment="1">
      <x:alignment wrapText="1"/>
    </x:xf>
    <x:xf numFmtId="0" fontId="0" fillId="6" borderId="0" xfId="0" applyNumberFormat="1" applyFont="1" applyFill="1" applyBorder="1"/>
    <x:xf numFmtId="0" fontId="6" fillId="6"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1" fillId="6" borderId="0" xfId="0" applyNumberFormat="1" applyFont="1" applyFill="1" applyBorder="1"/>
    <x:xf numFmtId="0" fontId="1" fillId="6" borderId="0" xfId="0" applyNumberFormat="1" applyFont="1" applyFill="1" applyBorder="1" applyAlignment="1">
      <x:alignment wrapText="1"/>
    </x:xf>
    <x:xf numFmtId="0" fontId="0" fillId="6" borderId="0"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6" fillId="8" borderId="0" xfId="0" applyNumberFormat="1" applyFont="1" applyFill="1" applyBorder="1"/>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1" fillId="8" borderId="0" xfId="0" applyNumberFormat="1" applyFont="1" applyFill="1" applyBorder="1" applyAlignment="1">
      <x:alignment wrapText="1"/>
    </x:xf>
    <x:xf numFmtId="202" fontId="0" fillId="0" borderId="0" xfId="0" applyNumberFormat="1" applyFont="1" applyFill="1" applyBorder="1" applyAlignment="1">
      <x:alignment wrapText="1"/>
    </x:xf>
  </x:cellXfs>
  <x:cellStyles count="1">
    <x:cellStyle name="Normal" xfId="0"/>
  </x:cellStyles>
  <x:dxfs count="2">
    <x:dxf>
      <x:fill>
        <x:patternFill>
          <x:bgColor rgb="FFFFF2CC"/>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b0333b89aa64e4d" /><Relationship Type="http://schemas.openxmlformats.org/officeDocument/2006/relationships/theme" Target="/xl/theme/theme1.xml" Id="R199a15db6e444ef6" /><Relationship Type="http://schemas.openxmlformats.org/officeDocument/2006/relationships/sharedStrings" Target="/xl/sharedStrings.xml" Id="R065aa7ee2194470c" /><Relationship Type="http://schemas.openxmlformats.org/officeDocument/2006/relationships/worksheet" Target="/xl/worksheets/sheet1.xml" Id="R84352036df5b40c5" /><Relationship Type="http://schemas.openxmlformats.org/officeDocument/2006/relationships/worksheet" Target="/xl/worksheets/sheet2.xml" Id="Reafb9824fa36420e" /><Relationship Type="http://schemas.openxmlformats.org/officeDocument/2006/relationships/worksheet" Target="/xl/worksheets/sheet3.xml" Id="Ra16672d575794b96" /><Relationship Type="http://schemas.openxmlformats.org/officeDocument/2006/relationships/worksheet" Target="/xl/worksheets/sheet4.xml" Id="Rba048f3c1c9240ca" /><Relationship Type="http://schemas.openxmlformats.org/officeDocument/2006/relationships/worksheet" Target="/xl/worksheets/sheet5.xml" Id="Reef980e0a27441ab" /><Relationship Type="http://schemas.openxmlformats.org/officeDocument/2006/relationships/worksheet" Target="/xl/worksheets/sheet6.xml" Id="R007417c8d4734787" /></Relationships>
</file>

<file path=xl/drawings/_rels/drawing1.xml.rels>&#65279;<?xml version="1.0" encoding="utf-8"?><Relationships xmlns="http://schemas.openxmlformats.org/package/2006/relationships"><Relationship Type="http://schemas.openxmlformats.org/officeDocument/2006/relationships/chart" Target="/xl/drawings/charts/chart1.xml" Id="R2123d1607b6b4ec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Fashion Empire attributable value</a:t>
            </a:r>
          </a:p>
        </c:rich>
      </c:tx>
    </c:title>
    <c:plotArea>
      <c:barChart>
        <c:barDir val="col"/>
        <c:varyColors val="0"/>
        <c:ser>
          <c:idx val="0"/>
          <c:order val="0"/>
          <c:tx>
            <c:v>Attributable value ($B)</c:v>
          </c:tx>
          <c:cat>
            <c:strRef>
              <c:f>'Summary'!$D$4:$D$6</c:f>
              <c:strCache>
                <c:ptCount val="0"/>
              </c:strCache>
            </c:strRef>
          </c:cat>
          <c:val>
            <c:numRef>
              <c:f>'Summary'!$E$4:$E$6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7</xdr:row>
      <xdr:rowOff>0</xdr:rowOff>
    </xdr:from>
    <xdr:to>
      <xdr:col>10</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123d1607b6b4ec8"/>
        </a:graphicData>
      </a:graphic>
    </xdr:graphicFrame>
    <xdr:clientData/>
  </xdr:twoCellAnchor>
</xdr:wsDr>
</file>

<file path=xl/tables/table1.xml><?xml version="1.0" encoding="utf-8"?>
<x:table xmlns:x="http://schemas.openxmlformats.org/spreadsheetml/2006/main" id="3" name="FashionEmpireValuation" displayName="FashionEmpireValuation" ref="A1:N89" headerRowCount="1" totalsRowCount="0" totalsRowShown="0">
  <x:tableColumns count="14">
    <x:tableColumn id="1" name="Entity / Group"/>
    <x:tableColumn id="2" name="Key brands / assets in Jim map"/>
    <x:tableColumn id="3" name="Type"/>
    <x:tableColumn id="4" name="Valuation basis"/>
    <x:tableColumn id="5" name="Low value ($B)"/>
    <x:tableColumn id="6" name="Mid value ($B)"/>
    <x:tableColumn id="7" name="High value ($B)"/>
    <x:tableColumn id="8" name="Jim stake %"/>
    <x:tableColumn id="9" name="Low attributable ($B)"/>
    <x:tableColumn id="10" name="Mid attributable ($B)"/>
    <x:tableColumn id="11" name="High attributable ($B)"/>
    <x:tableColumn id="12" name="Treatment / overlap note"/>
    <x:tableColumn id="13" name="Confidence"/>
    <x:tableColumn id="14" name="Source / rationale"/>
  </x:tableColumns>
  <x:tableStyleInfo name="TableStyleMedium2" showFirstColumn="0" showLastColumn="0" showRowStripes="1" showColumnStripes="0"/>
</x:table>
</file>

<file path=xl/tables/table2.xml><?xml version="1.0" encoding="utf-8"?>
<x:table xmlns:x="http://schemas.openxmlformats.org/spreadsheetml/2006/main" id="2" name="ValuationAssumptions" displayName="ValuationAssumptions" ref="A1:D10" headerRowCount="1" totalsRowCount="0" totalsRowShown="0">
  <x:tableColumns count="4">
    <x:tableColumn id="1" name="Assumption"/>
    <x:tableColumn id="2" name="Value"/>
    <x:tableColumn id="3" name="Status"/>
    <x:tableColumn id="4" name="Notes"/>
  </x:tableColumns>
  <x:tableStyleInfo name="TableStyleMedium2" showFirstColumn="0" showLastColumn="0" showRowStripes="1" showColumnStripes="0"/>
</x:table>
</file>

<file path=xl/tables/table3.xml><?xml version="1.0" encoding="utf-8"?>
<x:table xmlns:x="http://schemas.openxmlformats.org/spreadsheetml/2006/main" id="4" name="ManicuredFingersTable" displayName="ManicuredFingersTable" ref="A3:N40" headerRowCount="1" totalsRowCount="0" totalsRowShown="0">
  <x:tableColumns count="14">
    <x:tableColumn id="1" name="Target / Group"/>
    <x:tableColumn id="2" name="Brands / reason"/>
    <x:tableColumn id="3" name="Pot"/>
    <x:tableColumn id="4" name="Valuation / EV ($B)"/>
    <x:tableColumn id="5" name="Jim stake %"/>
    <x:tableColumn id="6" name="Attributable value ($B)"/>
    <x:tableColumn id="7" name="Annual revenue ($B)"/>
    <x:tableColumn id="8" name="Jim-attributable revenue ($B)"/>
    <x:tableColumn id="9" name="Daily attributable revenue ($M)"/>
    <x:tableColumn id="10" name="Hat Fund used ($B)"/>
    <x:tableColumn id="11" name="Basis"/>
    <x:tableColumn id="12" name="Status"/>
    <x:tableColumn id="13" name="Source"/>
    <x:tableColumn id="14" name="Notes"/>
  </x:tableColumns>
  <x:tableStyleInfo name="TableStyleMedium2" showFirstColumn="0" showLastColumn="0" showRowStripes="1" showColumnStripes="0"/>
</x:table>
</file>

<file path=xl/tables/table4.xml><?xml version="1.0" encoding="utf-8"?>
<x:table xmlns:x="http://schemas.openxmlformats.org/spreadsheetml/2006/main" id="5" name="HatsBagsShinyTable" displayName="HatsBagsShinyTable" ref="A3:N43" headerRowCount="1" totalsRowCount="0" totalsRowShown="0">
  <x:tableColumns count="14">
    <x:tableColumn id="1" name="Target / Group"/>
    <x:tableColumn id="2" name="Brands / reason"/>
    <x:tableColumn id="3" name="Pot"/>
    <x:tableColumn id="4" name="Valuation / EV ($B)"/>
    <x:tableColumn id="5" name="Jim stake %"/>
    <x:tableColumn id="6" name="Attributable value ($B)"/>
    <x:tableColumn id="7" name="Annual revenue ($B)"/>
    <x:tableColumn id="8" name="Jim-attributable revenue ($B)"/>
    <x:tableColumn id="9" name="Daily attributable revenue ($M)"/>
    <x:tableColumn id="10" name="Hat Fund used ($B)"/>
    <x:tableColumn id="11" name="Basis"/>
    <x:tableColumn id="12" name="Status"/>
    <x:tableColumn id="13" name="Source"/>
    <x:tableColumn id="14" name="Notes"/>
  </x:tableColumns>
  <x:tableStyleInfo name="TableStyleMedium2" showFirstColumn="0" showLastColumn="0" showRowStripes="1" showColumnStripes="0"/>
</x:table>
</file>

<file path=xl/tables/table5.xml><?xml version="1.0" encoding="utf-8"?>
<x:table xmlns:x="http://schemas.openxmlformats.org/spreadsheetml/2006/main" id="6" name="ShoesAthleisureResortTable" displayName="ShoesAthleisureResortTable" ref="A3:N33" headerRowCount="1" totalsRowCount="0" totalsRowShown="0">
  <x:tableColumns count="14">
    <x:tableColumn id="1" name="Target / Group"/>
    <x:tableColumn id="2" name="Brands / reason"/>
    <x:tableColumn id="3" name="Sector"/>
    <x:tableColumn id="4" name="Valuation / EV ($B)"/>
    <x:tableColumn id="5" name="Jim stake %"/>
    <x:tableColumn id="6" name="Attributable value ($B)"/>
    <x:tableColumn id="7" name="Annual revenue ($B)"/>
    <x:tableColumn id="8" name="Jim-attributable revenue ($B)"/>
    <x:tableColumn id="9" name="Daily attributable revenue ($M)"/>
    <x:tableColumn id="10" name="Hat Fund used ($B)"/>
    <x:tableColumn id="11" name="Basis"/>
    <x:tableColumn id="12" name="Status"/>
    <x:tableColumn id="13" name="Source"/>
    <x:tableColumn id="14"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28e48cac03a4c2b" /></Relationships>
</file>

<file path=xl/worksheets/_rels/sheet2.xml.rels>&#65279;<?xml version="1.0" encoding="utf-8"?><Relationships xmlns="http://schemas.openxmlformats.org/package/2006/relationships"><Relationship Type="http://schemas.openxmlformats.org/officeDocument/2006/relationships/table" Target="/xl/tables/table2.xml" Id="R1a199a5a597142f2" /></Relationships>
</file>

<file path=xl/worksheets/_rels/sheet3.xml.rels>&#65279;<?xml version="1.0" encoding="utf-8"?><Relationships xmlns="http://schemas.openxmlformats.org/package/2006/relationships"><Relationship Type="http://schemas.openxmlformats.org/officeDocument/2006/relationships/drawing" Target="/xl/drawings/drawing1.xml" Id="Rd33bfee5f0a743b8" /></Relationships>
</file>

<file path=xl/worksheets/_rels/sheet4.xml.rels>&#65279;<?xml version="1.0" encoding="utf-8"?><Relationships xmlns="http://schemas.openxmlformats.org/package/2006/relationships"><Relationship Type="http://schemas.openxmlformats.org/officeDocument/2006/relationships/table" Target="/xl/tables/table3.xml" Id="Reff5b9045cea4e66" /></Relationships>
</file>

<file path=xl/worksheets/_rels/sheet5.xml.rels>&#65279;<?xml version="1.0" encoding="utf-8"?><Relationships xmlns="http://schemas.openxmlformats.org/package/2006/relationships"><Relationship Type="http://schemas.openxmlformats.org/officeDocument/2006/relationships/table" Target="/xl/tables/table4.xml" Id="R957e01f38df0497b" /></Relationships>
</file>

<file path=xl/worksheets/_rels/sheet6.xml.rels>&#65279;<?xml version="1.0" encoding="utf-8"?><Relationships xmlns="http://schemas.openxmlformats.org/package/2006/relationships"><Relationship Type="http://schemas.openxmlformats.org/officeDocument/2006/relationships/table" Target="/xl/tables/table5.xml" Id="R6f7e4606810247a7" /></Relationships>
</file>

<file path=xl/worksheets/sheet1.xml><?xml version="1.0" encoding="utf-8"?>
<x:worksheet xmlns:x="http://schemas.openxmlformats.org/spreadsheetml/2006/main">
  <x:sheetFormatPr defaultRowHeight="15"/>
  <x:cols>
    <x:col min="1" max="1" width="24" hidden="0" customWidth="1"/>
    <x:col min="2" max="2" width="42" hidden="0" customWidth="1"/>
    <x:col min="3" max="3" width="20" hidden="0" customWidth="1"/>
    <x:col min="4" max="4" width="30" hidden="0" customWidth="1"/>
    <x:col min="5" max="5" width="14" hidden="0" customWidth="1"/>
    <x:col min="6" max="6" width="14" hidden="0" customWidth="1"/>
    <x:col min="7" max="7" width="14" hidden="0" customWidth="1"/>
    <x:col min="8" max="8" width="12" hidden="0" customWidth="1"/>
    <x:col min="9" max="9" width="17" hidden="0" customWidth="1"/>
    <x:col min="10" max="10" width="17" hidden="0" customWidth="1"/>
    <x:col min="11" max="11" width="17" hidden="0" customWidth="1"/>
    <x:col min="12" max="12" width="48" hidden="0" customWidth="1"/>
    <x:col min="13" max="13" width="15" hidden="0" customWidth="1"/>
    <x:col min="14" max="14" width="52" hidden="0" customWidth="1"/>
  </x:cols>
  <x:sheetData>
    <x:row r="1">
      <x:c r="A1" s="6" t="str">
        <x:v>Entity / Group</x:v>
      </x:c>
      <x:c r="B1" s="6" t="str">
        <x:v>Key brands / assets in Jim map</x:v>
      </x:c>
      <x:c r="C1" s="6" t="str">
        <x:v>Type</x:v>
      </x:c>
      <x:c r="D1" s="6" t="str">
        <x:v>Valuation basis</x:v>
      </x:c>
      <x:c r="E1" s="6" t="str">
        <x:v>Low value ($B)</x:v>
      </x:c>
      <x:c r="F1" s="6" t="str">
        <x:v>Mid value ($B)</x:v>
      </x:c>
      <x:c r="G1" s="6" t="str">
        <x:v>High value ($B)</x:v>
      </x:c>
      <x:c r="H1" s="6" t="str">
        <x:v>Jim stake %</x:v>
      </x:c>
      <x:c r="I1" s="6" t="str">
        <x:v>Low attributable ($B)</x:v>
      </x:c>
      <x:c r="J1" s="6" t="str">
        <x:v>Mid attributable ($B)</x:v>
      </x:c>
      <x:c r="K1" s="6" t="str">
        <x:v>High attributable ($B)</x:v>
      </x:c>
      <x:c r="L1" s="6" t="str">
        <x:v>Treatment / overlap note</x:v>
      </x:c>
      <x:c r="M1" s="6" t="str">
        <x:v>Confidence</x:v>
      </x:c>
      <x:c r="N1" s="6" t="str">
        <x:v>Source / rationale</x:v>
      </x:c>
    </x:row>
    <x:row r="2">
      <x:c r="A2" s="28" t="str">
        <x:v>LVMH</x:v>
      </x:c>
      <x:c r="B2" s="28" t="str">
        <x:v>Louis Vuitton, Dior, Fendi, Givenchy, Céline, Loewe, Kenzo, Marc Jacobs, Rimowa, Berluti, Patou, Moynat, Guerlain</x:v>
      </x:c>
      <x:c r="C2" s="28" t="str">
        <x:v>Public parent</x:v>
      </x:c>
      <x:c r="D2" s="28" t="str">
        <x:v>Sep-2026 market cap</x:v>
      </x:c>
      <x:c r="E2" s="29" t="n">
        <x:v>236.03</x:v>
      </x:c>
      <x:c r="F2" s="29" t="n">
        <x:v>236.03</x:v>
      </x:c>
      <x:c r="G2" s="29" t="n">
        <x:v>236.03</x:v>
      </x:c>
      <x:c r="H2" s="30" t="n">
        <x:v>0.51</x:v>
      </x:c>
      <x:c r="I2" s="31" t="n">
        <x:f>E2*H2</x:f>
        <x:v>120.3753</x:v>
      </x:c>
      <x:c r="J2" s="31" t="n">
        <x:f>F2*H2</x:f>
        <x:v>120.3753</x:v>
      </x:c>
      <x:c r="K2" s="31" t="n">
        <x:f>G2*H2</x:f>
        <x:v>120.3753</x:v>
      </x:c>
      <x:c r="L2" s="28" t="str">
        <x:v>Count parent once; do NOT separately value LVMH child brands</x:v>
      </x:c>
      <x:c r="M2" s="28" t="str">
        <x:v>High</x:v>
      </x:c>
      <x:c r="N2" s="28" t="str">
        <x:v>https://companiesmarketcap.com/lvmh/marketcap/</x:v>
      </x:c>
    </x:row>
    <x:row r="3">
      <x:c r="A3" s="28" t="str">
        <x:v>Kering</x:v>
      </x:c>
      <x:c r="B3" s="28" t="str">
        <x:v>Gucci, Saint Laurent, Balenciaga, Bottega Veneta, Alexander McQueen, Brioni</x:v>
      </x:c>
      <x:c r="C3" s="28" t="str">
        <x:v>Public parent</x:v>
      </x:c>
      <x:c r="D3" s="28" t="str">
        <x:v>Sep-2026 working market cap</x:v>
      </x:c>
      <x:c r="E3" s="29" t="n">
        <x:v>33.12</x:v>
      </x:c>
      <x:c r="F3" s="29" t="n">
        <x:v>33.12</x:v>
      </x:c>
      <x:c r="G3" s="29" t="n">
        <x:v>33.12</x:v>
      </x:c>
      <x:c r="H3" s="30" t="n">
        <x:v>0.51</x:v>
      </x:c>
      <x:c r="I3" s="31" t="n">
        <x:f>E3*H3</x:f>
        <x:v>16.891199999999998</x:v>
      </x:c>
      <x:c r="J3" s="31" t="n">
        <x:f>F3*H3</x:f>
        <x:v>16.891199999999998</x:v>
      </x:c>
      <x:c r="K3" s="31" t="n">
        <x:f>G3*H3</x:f>
        <x:v>16.891199999999998</x:v>
      </x:c>
      <x:c r="L3" s="28" t="str">
        <x:v>Count parent once; Valentino overlap must be audited</x:v>
      </x:c>
      <x:c r="M3" s="28" t="str">
        <x:v>High</x:v>
      </x:c>
      <x:c r="N3" s="28" t="str">
        <x:v>Current Sep-2026 market-cap working input</x:v>
      </x:c>
    </x:row>
    <x:row r="4">
      <x:c r="A4" s="28" t="str">
        <x:v>Richemont</x:v>
      </x:c>
      <x:c r="B4" s="28" t="str">
        <x:v>Alaïa, Chloé, Delvaux, Cartier, Van Cleef &amp; Arpels</x:v>
      </x:c>
      <x:c r="C4" s="28" t="str">
        <x:v>Public parent</x:v>
      </x:c>
      <x:c r="D4" s="28" t="str">
        <x:v>Sep-9-2026 market cap</x:v>
      </x:c>
      <x:c r="E4" s="29" t="n">
        <x:v>115.14</x:v>
      </x:c>
      <x:c r="F4" s="29" t="n">
        <x:v>115.14</x:v>
      </x:c>
      <x:c r="G4" s="29" t="n">
        <x:v>115.14</x:v>
      </x:c>
      <x:c r="H4" s="30" t="n">
        <x:v>0.3</x:v>
      </x:c>
      <x:c r="I4" s="31" t="n">
        <x:f>E4*H4</x:f>
        <x:v>34.542</x:v>
      </x:c>
      <x:c r="J4" s="31" t="n">
        <x:f>F4*H4</x:f>
        <x:v>34.542</x:v>
      </x:c>
      <x:c r="K4" s="31" t="n">
        <x:f>G4*H4</x:f>
        <x:v>34.542</x:v>
      </x:c>
      <x:c r="L4" s="28" t="str">
        <x:v>Count parent once; no child-brand double count</x:v>
      </x:c>
      <x:c r="M4" s="28" t="str">
        <x:v>High</x:v>
      </x:c>
      <x:c r="N4" s="28" t="str">
        <x:v>https://ycharts.com/companies/CFRUY/market_cap</x:v>
      </x:c>
    </x:row>
    <x:row r="5">
      <x:c r="A5" s="28" t="str">
        <x:v>Prada Group</x:v>
      </x:c>
      <x:c r="B5" s="28" t="str">
        <x:v>Prada, Miu Miu, Versace</x:v>
      </x:c>
      <x:c r="C5" s="28" t="str">
        <x:v>Public parent</x:v>
      </x:c>
      <x:c r="D5" s="28" t="str">
        <x:v>Sep-2026 market cap</x:v>
      </x:c>
      <x:c r="E5" s="29" t="n">
        <x:v>12.52</x:v>
      </x:c>
      <x:c r="F5" s="29" t="n">
        <x:v>12.52</x:v>
      </x:c>
      <x:c r="G5" s="29" t="n">
        <x:v>12.52</x:v>
      </x:c>
      <x:c r="H5" s="30" t="n">
        <x:v>0.51</x:v>
      </x:c>
      <x:c r="I5" s="31" t="n">
        <x:f>E5*H5</x:f>
        <x:v>6.3852</x:v>
      </x:c>
      <x:c r="J5" s="31" t="n">
        <x:f>F5*H5</x:f>
        <x:v>6.3852</x:v>
      </x:c>
      <x:c r="K5" s="31" t="n">
        <x:f>G5*H5</x:f>
        <x:v>6.3852</x:v>
      </x:c>
      <x:c r="L5" s="28" t="str">
        <x:v>Count parent once</x:v>
      </x:c>
      <x:c r="M5" s="28" t="str">
        <x:v>High</x:v>
      </x:c>
      <x:c r="N5" s="28" t="str">
        <x:v>https://companiesmarketcap.com/prada/marketcap/</x:v>
      </x:c>
    </x:row>
    <x:row r="6">
      <x:c r="A6" s="28" t="str">
        <x:v>Puig</x:v>
      </x:c>
      <x:c r="B6" s="28" t="str">
        <x:v>Jean Paul Gaultier, Dries Van Noten, Carolina Herrera, Nina Ricci, Rabanne</x:v>
      </x:c>
      <x:c r="C6" s="28" t="str">
        <x:v>Public parent</x:v>
      </x:c>
      <x:c r="D6" s="28" t="str">
        <x:v>Sep-2026 market cap</x:v>
      </x:c>
      <x:c r="E6" s="29" t="n">
        <x:v>11.7</x:v>
      </x:c>
      <x:c r="F6" s="29" t="n">
        <x:v>11.7</x:v>
      </x:c>
      <x:c r="G6" s="29" t="n">
        <x:v>11.7</x:v>
      </x:c>
      <x:c r="H6" s="30" t="n">
        <x:v>0.3</x:v>
      </x:c>
      <x:c r="I6" s="31" t="n">
        <x:f>E6*H6</x:f>
        <x:v>3.51</x:v>
      </x:c>
      <x:c r="J6" s="31" t="n">
        <x:f>F6*H6</x:f>
        <x:v>3.51</x:v>
      </x:c>
      <x:c r="K6" s="31" t="n">
        <x:f>G6*H6</x:f>
        <x:v>3.51</x:v>
      </x:c>
      <x:c r="L6" s="28" t="str">
        <x:v>Count parent once</x:v>
      </x:c>
      <x:c r="M6" s="28" t="str">
        <x:v>High</x:v>
      </x:c>
      <x:c r="N6" s="28" t="str">
        <x:v>https://companiesmarketcap.com/puig-brands/marketcap/</x:v>
      </x:c>
    </x:row>
    <x:row r="7">
      <x:c r="A7" s="28" t="str">
        <x:v>Tapestry</x:v>
      </x:c>
      <x:c r="B7" s="28" t="str">
        <x:v>Coach; source map also grouped Thom Browne</x:v>
      </x:c>
      <x:c r="C7" s="28" t="str">
        <x:v>Public parent</x:v>
      </x:c>
      <x:c r="D7" s="28" t="str">
        <x:v>Sep-2026 market cap</x:v>
      </x:c>
      <x:c r="E7" s="29" t="n">
        <x:v>22.67</x:v>
      </x:c>
      <x:c r="F7" s="29" t="n">
        <x:v>22.67</x:v>
      </x:c>
      <x:c r="G7" s="29" t="n">
        <x:v>22.67</x:v>
      </x:c>
      <x:c r="H7" s="30" t="n">
        <x:v>0.3</x:v>
      </x:c>
      <x:c r="I7" s="31" t="n">
        <x:f>E7*H7</x:f>
        <x:v>6.801</x:v>
      </x:c>
      <x:c r="J7" s="31" t="n">
        <x:f>F7*H7</x:f>
        <x:v>6.801</x:v>
      </x:c>
      <x:c r="K7" s="31" t="n">
        <x:f>G7*H7</x:f>
        <x:v>6.801</x:v>
      </x:c>
      <x:c r="L7" s="28" t="str">
        <x:v>Count parent once; source-map grouping needs canon audit</x:v>
      </x:c>
      <x:c r="M7" s="28" t="str">
        <x:v>High</x:v>
      </x:c>
      <x:c r="N7" s="28" t="str">
        <x:v>https://companiesmarketcap.com/tapestry/marketcap/</x:v>
      </x:c>
    </x:row>
    <x:row r="8">
      <x:c r="A8" s="28" t="str">
        <x:v>Capri Holdings</x:v>
      </x:c>
      <x:c r="B8" s="28" t="str">
        <x:v>Michael Kors, Jimmy Choo</x:v>
      </x:c>
      <x:c r="C8" s="28" t="str">
        <x:v>Public parent</x:v>
      </x:c>
      <x:c r="D8" s="28" t="str">
        <x:v>Sep-2026 market cap</x:v>
      </x:c>
      <x:c r="E8" s="29" t="n">
        <x:v>1.45</x:v>
      </x:c>
      <x:c r="F8" s="29" t="n">
        <x:v>1.45</x:v>
      </x:c>
      <x:c r="G8" s="29" t="n">
        <x:v>1.45</x:v>
      </x:c>
      <x:c r="H8" s="30" t="n">
        <x:v>0.3</x:v>
      </x:c>
      <x:c r="I8" s="31" t="n">
        <x:f>E8*H8</x:f>
        <x:v>0.435</x:v>
      </x:c>
      <x:c r="J8" s="31" t="n">
        <x:f>F8*H8</x:f>
        <x:v>0.435</x:v>
      </x:c>
      <x:c r="K8" s="31" t="n">
        <x:f>G8*H8</x:f>
        <x:v>0.435</x:v>
      </x:c>
      <x:c r="L8" s="28" t="str">
        <x:v>Count parent once; source-map grouping needs audit</x:v>
      </x:c>
      <x:c r="M8" s="28" t="str">
        <x:v>High</x:v>
      </x:c>
      <x:c r="N8" s="28" t="str">
        <x:v>https://companiesmarketcap.com/capri-holdings/marketcap/</x:v>
      </x:c>
    </x:row>
    <x:row r="9">
      <x:c r="A9" s="28" t="str">
        <x:v>PVH</x:v>
      </x:c>
      <x:c r="B9" s="28" t="str">
        <x:v>Tommy Hilfiger, Calvin Klein</x:v>
      </x:c>
      <x:c r="C9" s="28" t="str">
        <x:v>Public parent</x:v>
      </x:c>
      <x:c r="D9" s="28" t="str">
        <x:v>Working Sep-2026 market cap</x:v>
      </x:c>
      <x:c r="E9" s="29" t="n">
        <x:v>3.16</x:v>
      </x:c>
      <x:c r="F9" s="29" t="n">
        <x:v>3.16</x:v>
      </x:c>
      <x:c r="G9" s="29" t="n">
        <x:v>3.16</x:v>
      </x:c>
      <x:c r="H9" s="30" t="n">
        <x:v>0.3</x:v>
      </x:c>
      <x:c r="I9" s="31" t="n">
        <x:f>E9*H9</x:f>
        <x:v>0.948</x:v>
      </x:c>
      <x:c r="J9" s="31" t="n">
        <x:f>F9*H9</x:f>
        <x:v>0.948</x:v>
      </x:c>
      <x:c r="K9" s="31" t="n">
        <x:f>G9*H9</x:f>
        <x:v>0.948</x:v>
      </x:c>
      <x:c r="L9" s="28" t="str">
        <x:v>Count parent once</x:v>
      </x:c>
      <x:c r="M9" s="28" t="str">
        <x:v>Medium</x:v>
      </x:c>
      <x:c r="N9" s="28" t="str">
        <x:v>Working current-market input; refresh before canon lock</x:v>
      </x:c>
    </x:row>
    <x:row r="10">
      <x:c r="A10" s="28" t="str">
        <x:v>Estée Lauder</x:v>
      </x:c>
      <x:c r="B10" s="28" t="str">
        <x:v>Tom Ford Beauty, Le Labo, MALIN+GOETZ</x:v>
      </x:c>
      <x:c r="C10" s="28" t="str">
        <x:v>Public parent</x:v>
      </x:c>
      <x:c r="D10" s="28" t="str">
        <x:v>Sep-2026 market cap</x:v>
      </x:c>
      <x:c r="E10" s="29" t="n">
        <x:v>36.79</x:v>
      </x:c>
      <x:c r="F10" s="29" t="n">
        <x:v>36.79</x:v>
      </x:c>
      <x:c r="G10" s="29" t="n">
        <x:v>36.79</x:v>
      </x:c>
      <x:c r="H10" s="30" t="n">
        <x:v>0.51</x:v>
      </x:c>
      <x:c r="I10" s="31" t="n">
        <x:f>E10*H10</x:f>
        <x:v>18.7629</x:v>
      </x:c>
      <x:c r="J10" s="31" t="n">
        <x:f>F10*H10</x:f>
        <x:v>18.7629</x:v>
      </x:c>
      <x:c r="K10" s="31" t="n">
        <x:f>G10*H10</x:f>
        <x:v>18.7629</x:v>
      </x:c>
      <x:c r="L10" s="28" t="str">
        <x:v>Count parent once; Tom Ford fashion-side structure needs audit</x:v>
      </x:c>
      <x:c r="M10" s="28" t="str">
        <x:v>High</x:v>
      </x:c>
      <x:c r="N10" s="28" t="str">
        <x:v>https://companiesmarketcap.com/estee-lauder/marketcap/</x:v>
      </x:c>
    </x:row>
    <x:row r="11">
      <x:c r="A11" s="28" t="str">
        <x:v>Hermès</x:v>
      </x:c>
      <x:c r="B11" s="28" t="str">
        <x:v>Hermès</x:v>
      </x:c>
      <x:c r="C11" s="28" t="str">
        <x:v>Public independent</x:v>
      </x:c>
      <x:c r="D11" s="28" t="str">
        <x:v>Sep-2026 market cap</x:v>
      </x:c>
      <x:c r="E11" s="29" t="n">
        <x:v>171.82</x:v>
      </x:c>
      <x:c r="F11" s="29" t="n">
        <x:v>171.82</x:v>
      </x:c>
      <x:c r="G11" s="29" t="n">
        <x:v>171.82</x:v>
      </x:c>
      <x:c r="H11" s="30" t="n">
        <x:v>0.51</x:v>
      </x:c>
      <x:c r="I11" s="31" t="n">
        <x:f>E11*H11</x:f>
        <x:v>87.62819999999999</x:v>
      </x:c>
      <x:c r="J11" s="31" t="n">
        <x:f>F11*H11</x:f>
        <x:v>87.62819999999999</x:v>
      </x:c>
      <x:c r="K11" s="31" t="n">
        <x:f>G11*H11</x:f>
        <x:v>87.62819999999999</x:v>
      </x:c>
      <x:c r="L11" s="28" t="str">
        <x:v>Direct house stake</x:v>
      </x:c>
      <x:c r="M11" s="28" t="str">
        <x:v>High</x:v>
      </x:c>
      <x:c r="N11" s="28" t="str">
        <x:v>https://companiesmarketcap.com/hermes-international/marketcap/</x:v>
      </x:c>
    </x:row>
    <x:row r="12">
      <x:c r="A12" s="28" t="str">
        <x:v>Burberry</x:v>
      </x:c>
      <x:c r="B12" s="28" t="str">
        <x:v>Burberry</x:v>
      </x:c>
      <x:c r="C12" s="28" t="str">
        <x:v>Public independent</x:v>
      </x:c>
      <x:c r="D12" s="28" t="str">
        <x:v>Sep-2026 market cap</x:v>
      </x:c>
      <x:c r="E12" s="29" t="n">
        <x:v>5.02</x:v>
      </x:c>
      <x:c r="F12" s="29" t="n">
        <x:v>5.02</x:v>
      </x:c>
      <x:c r="G12" s="29" t="n">
        <x:v>5.02</x:v>
      </x:c>
      <x:c r="H12" s="30" t="n">
        <x:v>0.3</x:v>
      </x:c>
      <x:c r="I12" s="31" t="n">
        <x:f>E12*H12</x:f>
        <x:v>1.5059999999999998</x:v>
      </x:c>
      <x:c r="J12" s="31" t="n">
        <x:f>F12*H12</x:f>
        <x:v>1.5059999999999998</x:v>
      </x:c>
      <x:c r="K12" s="31" t="n">
        <x:f>G12*H12</x:f>
        <x:v>1.5059999999999998</x:v>
      </x:c>
      <x:c r="L12" s="28" t="str">
        <x:v>Direct house stake</x:v>
      </x:c>
      <x:c r="M12" s="28" t="str">
        <x:v>High</x:v>
      </x:c>
      <x:c r="N12" s="28" t="str">
        <x:v>https://companiesmarketcap.com/burberry/marketcap/</x:v>
      </x:c>
    </x:row>
    <x:row r="13">
      <x:c r="A13" s="28" t="str">
        <x:v>Moncler</x:v>
      </x:c>
      <x:c r="B13" s="28" t="str">
        <x:v>Moncler</x:v>
      </x:c>
      <x:c r="C13" s="28" t="str">
        <x:v>Public independent</x:v>
      </x:c>
      <x:c r="D13" s="28" t="str">
        <x:v>Sep-2026 market cap</x:v>
      </x:c>
      <x:c r="E13" s="29" t="n">
        <x:v>14.42</x:v>
      </x:c>
      <x:c r="F13" s="29" t="n">
        <x:v>14.42</x:v>
      </x:c>
      <x:c r="G13" s="29" t="n">
        <x:v>14.42</x:v>
      </x:c>
      <x:c r="H13" s="30" t="n">
        <x:v>0.3</x:v>
      </x:c>
      <x:c r="I13" s="31" t="n">
        <x:f>E13*H13</x:f>
        <x:v>4.326</x:v>
      </x:c>
      <x:c r="J13" s="31" t="n">
        <x:f>F13*H13</x:f>
        <x:v>4.326</x:v>
      </x:c>
      <x:c r="K13" s="31" t="n">
        <x:f>G13*H13</x:f>
        <x:v>4.326</x:v>
      </x:c>
      <x:c r="L13" s="28" t="str">
        <x:v>Direct house stake</x:v>
      </x:c>
      <x:c r="M13" s="28" t="str">
        <x:v>High</x:v>
      </x:c>
      <x:c r="N13" s="28" t="str">
        <x:v>https://companiesmarketcap.com/moncler/marketcap/</x:v>
      </x:c>
    </x:row>
    <x:row r="14">
      <x:c r="A14" s="28" t="str">
        <x:v>Ralph Lauren</x:v>
      </x:c>
      <x:c r="B14" s="28" t="str">
        <x:v>Ralph Lauren</x:v>
      </x:c>
      <x:c r="C14" s="28" t="str">
        <x:v>Public independent</x:v>
      </x:c>
      <x:c r="D14" s="28" t="str">
        <x:v>Sep-10-2026 market cap</x:v>
      </x:c>
      <x:c r="E14" s="29" t="n">
        <x:v>20.5</x:v>
      </x:c>
      <x:c r="F14" s="29" t="n">
        <x:v>20.5</x:v>
      </x:c>
      <x:c r="G14" s="29" t="n">
        <x:v>20.5</x:v>
      </x:c>
      <x:c r="H14" s="30" t="n">
        <x:v>0.3</x:v>
      </x:c>
      <x:c r="I14" s="31" t="n">
        <x:f>E14*H14</x:f>
        <x:v>6.1499999999999995</x:v>
      </x:c>
      <x:c r="J14" s="31" t="n">
        <x:f>F14*H14</x:f>
        <x:v>6.1499999999999995</x:v>
      </x:c>
      <x:c r="K14" s="31" t="n">
        <x:f>G14*H14</x:f>
        <x:v>6.1499999999999995</x:v>
      </x:c>
      <x:c r="L14" s="28" t="str">
        <x:v>Direct house stake</x:v>
      </x:c>
      <x:c r="M14" s="28" t="str">
        <x:v>High</x:v>
      </x:c>
      <x:c r="N14" s="28" t="str">
        <x:v>https://capital.com/en-int/markets/shares/ralph-lauren-share-price/market-cap</x:v>
      </x:c>
    </x:row>
    <x:row r="15">
      <x:c r="A15" s="28" t="str">
        <x:v>Ferragamo</x:v>
      </x:c>
      <x:c r="B15" s="28" t="str">
        <x:v>Salvatore Ferragamo</x:v>
      </x:c>
      <x:c r="C15" s="28" t="str">
        <x:v>Public independent</x:v>
      </x:c>
      <x:c r="D15" s="28" t="str">
        <x:v>Sep-2026 market cap</x:v>
      </x:c>
      <x:c r="E15" s="29" t="n">
        <x:v>1.64</x:v>
      </x:c>
      <x:c r="F15" s="29" t="n">
        <x:v>1.64</x:v>
      </x:c>
      <x:c r="G15" s="29" t="n">
        <x:v>1.64</x:v>
      </x:c>
      <x:c r="H15" s="30" t="n">
        <x:v>0.3</x:v>
      </x:c>
      <x:c r="I15" s="31" t="n">
        <x:f>E15*H15</x:f>
        <x:v>0.49199999999999994</x:v>
      </x:c>
      <x:c r="J15" s="31" t="n">
        <x:f>F15*H15</x:f>
        <x:v>0.49199999999999994</x:v>
      </x:c>
      <x:c r="K15" s="31" t="n">
        <x:f>G15*H15</x:f>
        <x:v>0.49199999999999994</x:v>
      </x:c>
      <x:c r="L15" s="28" t="str">
        <x:v>Direct house stake</x:v>
      </x:c>
      <x:c r="M15" s="28" t="str">
        <x:v>High</x:v>
      </x:c>
      <x:c r="N15" s="28" t="str">
        <x:v>https://companiesmarketcap.com/salvatore-ferragamo/marketcap/</x:v>
      </x:c>
    </x:row>
    <x:row r="16">
      <x:c r="A16" s="28" t="str">
        <x:v>Brunello Cucinelli</x:v>
      </x:c>
      <x:c r="B16" s="28" t="str">
        <x:v>Brunello Cucinelli</x:v>
      </x:c>
      <x:c r="C16" s="28" t="str">
        <x:v>Public independent</x:v>
      </x:c>
      <x:c r="D16" s="28" t="str">
        <x:v>Sep-2026 market cap</x:v>
      </x:c>
      <x:c r="E16" s="29" t="n">
        <x:v>6.21</x:v>
      </x:c>
      <x:c r="F16" s="29" t="n">
        <x:v>6.21</x:v>
      </x:c>
      <x:c r="G16" s="29" t="n">
        <x:v>6.21</x:v>
      </x:c>
      <x:c r="H16" s="30" t="n">
        <x:v>0.3</x:v>
      </x:c>
      <x:c r="I16" s="31" t="n">
        <x:f>E16*H16</x:f>
        <x:v>1.863</x:v>
      </x:c>
      <x:c r="J16" s="31" t="n">
        <x:f>F16*H16</x:f>
        <x:v>1.863</x:v>
      </x:c>
      <x:c r="K16" s="31" t="n">
        <x:f>G16*H16</x:f>
        <x:v>1.863</x:v>
      </x:c>
      <x:c r="L16" s="28" t="str">
        <x:v>Direct house stake</x:v>
      </x:c>
      <x:c r="M16" s="28" t="str">
        <x:v>High</x:v>
      </x:c>
      <x:c r="N16" s="28" t="str">
        <x:v>https://companiesmarketcap.com/brunello-cucinelli/marketcap/</x:v>
      </x:c>
    </x:row>
    <x:row r="17">
      <x:c r="A17" s="28" t="str">
        <x:v>Zegna Group</x:v>
      </x:c>
      <x:c r="B17" s="28" t="str">
        <x:v>Zegna; real-world parent of Thom Browne</x:v>
      </x:c>
      <x:c r="C17" s="28" t="str">
        <x:v>Public parent</x:v>
      </x:c>
      <x:c r="D17" s="28" t="str">
        <x:v>Sep-2026 market cap</x:v>
      </x:c>
      <x:c r="E17" s="29" t="n">
        <x:v>4.95</x:v>
      </x:c>
      <x:c r="F17" s="29" t="n">
        <x:v>4.95</x:v>
      </x:c>
      <x:c r="G17" s="29" t="n">
        <x:v>4.95</x:v>
      </x:c>
      <x:c r="H17" s="30" t="n">
        <x:v>0.3</x:v>
      </x:c>
      <x:c r="I17" s="31" t="n">
        <x:f>E17*H17</x:f>
        <x:v>1.485</x:v>
      </x:c>
      <x:c r="J17" s="31" t="n">
        <x:f>F17*H17</x:f>
        <x:v>1.485</x:v>
      </x:c>
      <x:c r="K17" s="31" t="n">
        <x:f>G17*H17</x:f>
        <x:v>1.485</x:v>
      </x:c>
      <x:c r="L17" s="28" t="str">
        <x:v>Use parent once; source-map Thom Browne placement requires reconciliation</x:v>
      </x:c>
      <x:c r="M17" s="28" t="str">
        <x:v>High</x:v>
      </x:c>
      <x:c r="N17" s="28" t="str">
        <x:v>https://companiesmarketcap.com/ermenegildo-zegna/marketcap/</x:v>
      </x:c>
    </x:row>
    <x:row r="18">
      <x:c r="A18" s="28" t="str">
        <x:v>Chanel</x:v>
      </x:c>
      <x:c r="B18" s="28" t="str">
        <x:v>Chanel</x:v>
      </x:c>
      <x:c r="C18" s="28" t="str">
        <x:v>Private independent</x:v>
      </x:c>
      <x:c r="D18" s="28" t="str">
        <x:v>2025 revenue/EBITDA + luxury multiple hypothesis</x:v>
      </x:c>
      <x:c r="E18" s="29" t="n">
        <x:v>45</x:v>
      </x:c>
      <x:c r="F18" s="29" t="n">
        <x:v>55</x:v>
      </x:c>
      <x:c r="G18" s="29" t="n">
        <x:v>70</x:v>
      </x:c>
      <x:c r="H18" s="30" t="n">
        <x:v>0.51</x:v>
      </x:c>
      <x:c r="I18" s="31" t="n">
        <x:f>E18*H18</x:f>
        <x:v>22.95</x:v>
      </x:c>
      <x:c r="J18" s="31" t="n">
        <x:f>F18*H18</x:f>
        <x:v>28.05</x:v>
      </x:c>
      <x:c r="K18" s="31" t="n">
        <x:f>G18*H18</x:f>
        <x:v>35.7</x:v>
      </x:c>
      <x:c r="L18" s="28" t="str">
        <x:v>Hypothesis range</x:v>
      </x:c>
      <x:c r="M18" s="28" t="str">
        <x:v>Medium</x:v>
      </x:c>
      <x:c r="N18" s="28" t="str">
        <x:v>https://www.chanel.com/puls-img/1779118002743-fy25-results-press-release-en-final.pdf</x:v>
      </x:c>
    </x:row>
    <x:row r="19">
      <x:c r="A19" s="28" t="str">
        <x:v>Armani</x:v>
      </x:c>
      <x:c r="B19" s="28" t="str">
        <x:v>Giorgio Armani</x:v>
      </x:c>
      <x:c r="C19" s="28" t="str">
        <x:v>Private independent</x:v>
      </x:c>
      <x:c r="D19" s="28" t="str">
        <x:v>Sep-2026 analyst valuation range</x:v>
      </x:c>
      <x:c r="E19" s="29" t="n">
        <x:v>5</x:v>
      </x:c>
      <x:c r="F19" s="29" t="n">
        <x:v>6</x:v>
      </x:c>
      <x:c r="G19" s="29" t="n">
        <x:v>7</x:v>
      </x:c>
      <x:c r="H19" s="30" t="n">
        <x:v>0.51</x:v>
      </x:c>
      <x:c r="I19" s="31" t="n">
        <x:f>E19*H19</x:f>
        <x:v>2.55</x:v>
      </x:c>
      <x:c r="J19" s="31" t="n">
        <x:f>F19*H19</x:f>
        <x:v>3.06</x:v>
      </x:c>
      <x:c r="K19" s="31" t="n">
        <x:f>G19*H19</x:f>
        <x:v>3.5700000000000003</x:v>
      </x:c>
      <x:c r="L19" s="28" t="str">
        <x:v>Direct house stake</x:v>
      </x:c>
      <x:c r="M19" s="28" t="str">
        <x:v>High</x:v>
      </x:c>
      <x:c r="N19" s="28" t="str">
        <x:v>https://www.reuters.com/business/retail-consumer/one-year-after-its-founders-death-armani-faces-challenge-inevitable-evolution-2026-09-04/</x:v>
      </x:c>
    </x:row>
    <x:row r="20">
      <x:c r="A20" s="28" t="str">
        <x:v>Valentino</x:v>
      </x:c>
      <x:c r="B20" s="28" t="str">
        <x:v>Valentino</x:v>
      </x:c>
      <x:c r="C20" s="28" t="str">
        <x:v>Private / strategic stake</x:v>
      </x:c>
      <x:c r="D20" s="28" t="str">
        <x:v>2023 30% sale for €1.7B; translated/bracketed</x:v>
      </x:c>
      <x:c r="E20" s="29" t="n">
        <x:v>5.5</x:v>
      </x:c>
      <x:c r="F20" s="29" t="n">
        <x:v>6.5</x:v>
      </x:c>
      <x:c r="G20" s="29" t="n">
        <x:v>7.5</x:v>
      </x:c>
      <x:c r="H20" s="30" t="n">
        <x:v>0.3</x:v>
      </x:c>
      <x:c r="I20" s="31" t="n">
        <x:f>E20*H20</x:f>
        <x:v>1.65</x:v>
      </x:c>
      <x:c r="J20" s="31" t="n">
        <x:f>F20*H20</x:f>
        <x:v>1.95</x:v>
      </x:c>
      <x:c r="K20" s="31" t="n">
        <x:f>G20*H20</x:f>
        <x:v>2.25</x:v>
      </x:c>
      <x:c r="L20" s="28" t="str">
        <x:v>Potential Kering overlap; exclude if Jim exposure exists only through Kering</x:v>
      </x:c>
      <x:c r="M20" s="28" t="str">
        <x:v>Medium</x:v>
      </x:c>
      <x:c r="N20" s="28" t="str">
        <x:v>https://www.kering.com/en/news/kering-and-mayhoola-announce-that-kering-becomes-a-significant-a-shareholder-of-valentino-as-part-of-a-broader-strategic-partnership/</x:v>
      </x:c>
    </x:row>
    <x:row r="21">
      <x:c r="A21" s="28" t="str">
        <x:v>Christian Louboutin</x:v>
      </x:c>
      <x:c r="B21" s="28" t="str">
        <x:v>Christian Louboutin</x:v>
      </x:c>
      <x:c r="C21" s="28" t="str">
        <x:v>Private independent</x:v>
      </x:c>
      <x:c r="D21" s="28" t="str">
        <x:v>2023 Exor mark ~$3.2B</x:v>
      </x:c>
      <x:c r="E21" s="29" t="n">
        <x:v>2.8</x:v>
      </x:c>
      <x:c r="F21" s="29" t="n">
        <x:v>3.2</x:v>
      </x:c>
      <x:c r="G21" s="29" t="n">
        <x:v>4</x:v>
      </x:c>
      <x:c r="H21" s="30" t="n">
        <x:v>0.3</x:v>
      </x:c>
      <x:c r="I21" s="31" t="n">
        <x:f>E21*H21</x:f>
        <x:v>0.84</x:v>
      </x:c>
      <x:c r="J21" s="31" t="n">
        <x:f>F21*H21</x:f>
        <x:v>0.96</x:v>
      </x:c>
      <x:c r="K21" s="31" t="n">
        <x:f>G21*H21</x:f>
        <x:v>1.2</x:v>
      </x:c>
      <x:c r="L21" s="28" t="str">
        <x:v>Acquisition vs Patronage status unresolved</x:v>
      </x:c>
      <x:c r="M21" s="28" t="str">
        <x:v>Medium-High</x:v>
      </x:c>
      <x:c r="N21" s="28" t="str">
        <x:v>https://www.forbes.com/sites/giacomotognini/2024/04/01/christian-louboutin-net-worth-billionaire-shoe-designer/</x:v>
      </x:c>
    </x:row>
    <x:row r="22">
      <x:c r="A22" s="28" t="str">
        <x:v>Dolce &amp; Gabbana</x:v>
      </x:c>
      <x:c r="B22" s="28" t="str">
        <x:v>Dolce &amp; Gabbana</x:v>
      </x:c>
      <x:c r="C22" s="28" t="str">
        <x:v>Private independent</x:v>
      </x:c>
      <x:c r="D22" s="28" t="str">
        <x:v>Working luxury-house hypothesis</x:v>
      </x:c>
      <x:c r="E22" s="29" t="n">
        <x:v>5</x:v>
      </x:c>
      <x:c r="F22" s="29" t="n">
        <x:v>7</x:v>
      </x:c>
      <x:c r="G22" s="29" t="n">
        <x:v>10</x:v>
      </x:c>
      <x:c r="H22" s="30" t="n">
        <x:v>0.3</x:v>
      </x:c>
      <x:c r="I22" s="31" t="n">
        <x:f>E22*H22</x:f>
        <x:v>1.5</x:v>
      </x:c>
      <x:c r="J22" s="31" t="n">
        <x:f>F22*H22</x:f>
        <x:v>2.1</x:v>
      </x:c>
      <x:c r="K22" s="31" t="n">
        <x:f>G22*H22</x:f>
        <x:v>3</x:v>
      </x:c>
      <x:c r="L22" s="28" t="str">
        <x:v>Explicit hypothesis</x:v>
      </x:c>
      <x:c r="M22" s="28" t="str">
        <x:v>Low-Medium</x:v>
      </x:c>
      <x:c r="N22" s="28" t="str">
        <x:v>Model hypothesis</x:v>
      </x:c>
    </x:row>
    <x:row r="23">
      <x:c r="A23" s="28" t="str">
        <x:v>Max Mara</x:v>
      </x:c>
      <x:c r="B23" s="28" t="str">
        <x:v>Max Mara</x:v>
      </x:c>
      <x:c r="C23" s="28" t="str">
        <x:v>Private independent</x:v>
      </x:c>
      <x:c r="D23" s="28" t="str">
        <x:v>Working luxury-house hypothesis</x:v>
      </x:c>
      <x:c r="E23" s="29" t="n">
        <x:v>4</x:v>
      </x:c>
      <x:c r="F23" s="29" t="n">
        <x:v>6</x:v>
      </x:c>
      <x:c r="G23" s="29" t="n">
        <x:v>8</x:v>
      </x:c>
      <x:c r="H23" s="30" t="n">
        <x:v>0.3</x:v>
      </x:c>
      <x:c r="I23" s="31" t="n">
        <x:f>E23*H23</x:f>
        <x:v>1.2</x:v>
      </x:c>
      <x:c r="J23" s="31" t="n">
        <x:f>F23*H23</x:f>
        <x:v>1.7999999999999998</x:v>
      </x:c>
      <x:c r="K23" s="31" t="n">
        <x:f>G23*H23</x:f>
        <x:v>2.4</x:v>
      </x:c>
      <x:c r="L23" s="28" t="str">
        <x:v>Explicit hypothesis</x:v>
      </x:c>
      <x:c r="M23" s="28" t="str">
        <x:v>Low-Medium</x:v>
      </x:c>
      <x:c r="N23" s="28" t="str">
        <x:v>Model hypothesis</x:v>
      </x:c>
    </x:row>
    <x:row r="24">
      <x:c r="A24" s="28" t="str">
        <x:v>Goyard</x:v>
      </x:c>
      <x:c r="B24" s="28" t="str">
        <x:v>Goyard</x:v>
      </x:c>
      <x:c r="C24" s="28" t="str">
        <x:v>Private independent</x:v>
      </x:c>
      <x:c r="D24" s="28" t="str">
        <x:v>Scarcity / brand-strength hypothesis</x:v>
      </x:c>
      <x:c r="E24" s="29" t="n">
        <x:v>2</x:v>
      </x:c>
      <x:c r="F24" s="29" t="n">
        <x:v>3.5</x:v>
      </x:c>
      <x:c r="G24" s="29" t="n">
        <x:v>5</x:v>
      </x:c>
      <x:c r="H24" s="30" t="n">
        <x:v>0.3</x:v>
      </x:c>
      <x:c r="I24" s="31" t="n">
        <x:f>E24*H24</x:f>
        <x:v>0.6</x:v>
      </x:c>
      <x:c r="J24" s="31" t="n">
        <x:f>F24*H24</x:f>
        <x:v>1.05</x:v>
      </x:c>
      <x:c r="K24" s="31" t="n">
        <x:f>G24*H24</x:f>
        <x:v>1.5</x:v>
      </x:c>
      <x:c r="L24" s="28" t="str">
        <x:v>Likely Patronage/purist candidate</x:v>
      </x:c>
      <x:c r="M24" s="28" t="str">
        <x:v>Low</x:v>
      </x:c>
      <x:c r="N24" s="28" t="str">
        <x:v>Model hypothesis</x:v>
      </x:c>
    </x:row>
    <x:row r="25">
      <x:c r="A25" s="28" t="str">
        <x:v>Manolo Blahnik</x:v>
      </x:c>
      <x:c r="B25" s="28" t="str">
        <x:v>Manolo Blahnik</x:v>
      </x:c>
      <x:c r="C25" s="28" t="str">
        <x:v>Private independent</x:v>
      </x:c>
      <x:c r="D25" s="28" t="str">
        <x:v>Luxury footwear hypothesis</x:v>
      </x:c>
      <x:c r="E25" s="29" t="n">
        <x:v>0.8</x:v>
      </x:c>
      <x:c r="F25" s="29" t="n">
        <x:v>1.2</x:v>
      </x:c>
      <x:c r="G25" s="29" t="n">
        <x:v>1.8</x:v>
      </x:c>
      <x:c r="H25" s="30" t="n">
        <x:v>0.3</x:v>
      </x:c>
      <x:c r="I25" s="31" t="n">
        <x:f>E25*H25</x:f>
        <x:v>0.24</x:v>
      </x:c>
      <x:c r="J25" s="31" t="n">
        <x:f>F25*H25</x:f>
        <x:v>0.36</x:v>
      </x:c>
      <x:c r="K25" s="31" t="n">
        <x:f>G25*H25</x:f>
        <x:v>0.54</x:v>
      </x:c>
      <x:c r="L25" s="28" t="str">
        <x:v>Patronage-plan named house; likely not controlling acquisition</x:v>
      </x:c>
      <x:c r="M25" s="28" t="str">
        <x:v>Low-Medium</x:v>
      </x:c>
      <x:c r="N25" s="28" t="str">
        <x:v>Model hypothesis</x:v>
      </x:c>
    </x:row>
    <x:row r="26">
      <x:c r="A26" s="28" t="str">
        <x:v>Rick Owens</x:v>
      </x:c>
      <x:c r="B26" s="28" t="str">
        <x:v>Rick Owens</x:v>
      </x:c>
      <x:c r="C26" s="28" t="str">
        <x:v>Private independent</x:v>
      </x:c>
      <x:c r="D26" s="28" t="str">
        <x:v>Designer-house hypothesis</x:v>
      </x:c>
      <x:c r="E26" s="29" t="n">
        <x:v>0.6</x:v>
      </x:c>
      <x:c r="F26" s="29" t="n">
        <x:v>1</x:v>
      </x:c>
      <x:c r="G26" s="29" t="n">
        <x:v>1.5</x:v>
      </x:c>
      <x:c r="H26" s="30" t="n">
        <x:v>0.3</x:v>
      </x:c>
      <x:c r="I26" s="31" t="n">
        <x:f>E26*H26</x:f>
        <x:v>0.18</x:v>
      </x:c>
      <x:c r="J26" s="31" t="n">
        <x:f>F26*H26</x:f>
        <x:v>0.3</x:v>
      </x:c>
      <x:c r="K26" s="31" t="n">
        <x:f>G26*H26</x:f>
        <x:v>0.44999999999999996</x:v>
      </x:c>
      <x:c r="L26" s="28" t="str">
        <x:v>Patronage-plan named house</x:v>
      </x:c>
      <x:c r="M26" s="28" t="str">
        <x:v>Low-Medium</x:v>
      </x:c>
      <x:c r="N26" s="28" t="str">
        <x:v>Model hypothesis</x:v>
      </x:c>
    </x:row>
    <x:row r="27">
      <x:c r="A27" s="28" t="str">
        <x:v>Comme des Garçons</x:v>
      </x:c>
      <x:c r="B27" s="28" t="str">
        <x:v>Comme des Garçons</x:v>
      </x:c>
      <x:c r="C27" s="28" t="str">
        <x:v>Private independent</x:v>
      </x:c>
      <x:c r="D27" s="28" t="str">
        <x:v>Designer-group hypothesis</x:v>
      </x:c>
      <x:c r="E27" s="29" t="n">
        <x:v>1.5</x:v>
      </x:c>
      <x:c r="F27" s="29" t="n">
        <x:v>2.5</x:v>
      </x:c>
      <x:c r="G27" s="29" t="n">
        <x:v>4</x:v>
      </x:c>
      <x:c r="H27" s="30" t="n">
        <x:v>0.3</x:v>
      </x:c>
      <x:c r="I27" s="31" t="n">
        <x:f>E27*H27</x:f>
        <x:v>0.44999999999999996</x:v>
      </x:c>
      <x:c r="J27" s="31" t="n">
        <x:f>F27*H27</x:f>
        <x:v>0.75</x:v>
      </x:c>
      <x:c r="K27" s="31" t="n">
        <x:f>G27*H27</x:f>
        <x:v>1.2</x:v>
      </x:c>
      <x:c r="L27" s="28" t="str">
        <x:v>Patronage-plan named house</x:v>
      </x:c>
      <x:c r="M27" s="28" t="str">
        <x:v>Low-Medium</x:v>
      </x:c>
      <x:c r="N27" s="28" t="str">
        <x:v>Model hypothesis</x:v>
      </x:c>
    </x:row>
    <x:row r="28">
      <x:c r="A28" s="28" t="str">
        <x:v>Kiton</x:v>
      </x:c>
      <x:c r="B28" s="28" t="str">
        <x:v>Kiton</x:v>
      </x:c>
      <x:c r="C28" s="28" t="str">
        <x:v>Private independent</x:v>
      </x:c>
      <x:c r="D28" s="28" t="str">
        <x:v>Luxury tailoring hypothesis</x:v>
      </x:c>
      <x:c r="E28" s="29" t="n">
        <x:v>0.7</x:v>
      </x:c>
      <x:c r="F28" s="29" t="n">
        <x:v>1.1</x:v>
      </x:c>
      <x:c r="G28" s="29" t="n">
        <x:v>1.6</x:v>
      </x:c>
      <x:c r="H28" s="30" t="n">
        <x:v>0.3</x:v>
      </x:c>
      <x:c r="I28" s="31" t="n">
        <x:f>E28*H28</x:f>
        <x:v>0.21</x:v>
      </x:c>
      <x:c r="J28" s="31" t="n">
        <x:f>F28*H28</x:f>
        <x:v>0.33</x:v>
      </x:c>
      <x:c r="K28" s="31" t="n">
        <x:f>G28*H28</x:f>
        <x:v>0.48</x:v>
      </x:c>
      <x:c r="L28" s="28" t="str">
        <x:v>Patronage-plan named house</x:v>
      </x:c>
      <x:c r="M28" s="28" t="str">
        <x:v>Low-Medium</x:v>
      </x:c>
      <x:c r="N28" s="28" t="str">
        <x:v>Model hypothesis</x:v>
      </x:c>
    </x:row>
    <x:row r="29">
      <x:c r="A29" s="28" t="str">
        <x:v>Missoni</x:v>
      </x:c>
      <x:c r="B29" s="28" t="str">
        <x:v>Missoni</x:v>
      </x:c>
      <x:c r="C29" s="28" t="str">
        <x:v>Private independent</x:v>
      </x:c>
      <x:c r="D29" s="28" t="str">
        <x:v>Working house hypothesis</x:v>
      </x:c>
      <x:c r="E29" s="29" t="n">
        <x:v>0.6</x:v>
      </x:c>
      <x:c r="F29" s="29" t="n">
        <x:v>1</x:v>
      </x:c>
      <x:c r="G29" s="29" t="n">
        <x:v>1.5</x:v>
      </x:c>
      <x:c r="H29" s="30" t="n">
        <x:v>0.3</x:v>
      </x:c>
      <x:c r="I29" s="31" t="n">
        <x:f>E29*H29</x:f>
        <x:v>0.18</x:v>
      </x:c>
      <x:c r="J29" s="31" t="n">
        <x:f>F29*H29</x:f>
        <x:v>0.3</x:v>
      </x:c>
      <x:c r="K29" s="31" t="n">
        <x:f>G29*H29</x:f>
        <x:v>0.44999999999999996</x:v>
      </x:c>
      <x:c r="L29" s="28" t="str">
        <x:v>Status unresolved</x:v>
      </x:c>
      <x:c r="M29" s="28" t="str">
        <x:v>Low</x:v>
      </x:c>
      <x:c r="N29" s="28" t="str">
        <x:v>Model hypothesis</x:v>
      </x:c>
    </x:row>
    <x:row r="30">
      <x:c r="A30" s="28" t="str">
        <x:v>Etro</x:v>
      </x:c>
      <x:c r="B30" s="28" t="str">
        <x:v>Etro</x:v>
      </x:c>
      <x:c r="C30" s="28" t="str">
        <x:v>Private / PE-backed</x:v>
      </x:c>
      <x:c r="D30" s="28" t="str">
        <x:v>Working house hypothesis</x:v>
      </x:c>
      <x:c r="E30" s="29" t="n">
        <x:v>0.7</x:v>
      </x:c>
      <x:c r="F30" s="29" t="n">
        <x:v>1.1</x:v>
      </x:c>
      <x:c r="G30" s="29" t="n">
        <x:v>1.7</x:v>
      </x:c>
      <x:c r="H30" s="30" t="n">
        <x:v>0.3</x:v>
      </x:c>
      <x:c r="I30" s="31" t="n">
        <x:f>E30*H30</x:f>
        <x:v>0.21</x:v>
      </x:c>
      <x:c r="J30" s="31" t="n">
        <x:f>F30*H30</x:f>
        <x:v>0.33</x:v>
      </x:c>
      <x:c r="K30" s="31" t="n">
        <x:f>G30*H30</x:f>
        <x:v>0.51</x:v>
      </x:c>
      <x:c r="L30" s="28" t="str">
        <x:v>Status unresolved</x:v>
      </x:c>
      <x:c r="M30" s="28" t="str">
        <x:v>Low</x:v>
      </x:c>
      <x:c r="N30" s="28" t="str">
        <x:v>Model hypothesis</x:v>
      </x:c>
    </x:row>
    <x:row r="31">
      <x:c r="A31" s="28" t="str">
        <x:v>Tory Burch</x:v>
      </x:c>
      <x:c r="B31" s="28" t="str">
        <x:v>Tory Burch</x:v>
      </x:c>
      <x:c r="C31" s="28" t="str">
        <x:v>Private independent</x:v>
      </x:c>
      <x:c r="D31" s="28" t="str">
        <x:v>Scaled private fashion hypothesis</x:v>
      </x:c>
      <x:c r="E31" s="29" t="n">
        <x:v>2.5</x:v>
      </x:c>
      <x:c r="F31" s="29" t="n">
        <x:v>4</x:v>
      </x:c>
      <x:c r="G31" s="29" t="n">
        <x:v>6</x:v>
      </x:c>
      <x:c r="H31" s="30" t="n">
        <x:v>0.3</x:v>
      </x:c>
      <x:c r="I31" s="31" t="n">
        <x:f>E31*H31</x:f>
        <x:v>0.75</x:v>
      </x:c>
      <x:c r="J31" s="31" t="n">
        <x:f>F31*H31</x:f>
        <x:v>1.2</x:v>
      </x:c>
      <x:c r="K31" s="31" t="n">
        <x:f>G31*H31</x:f>
        <x:v>1.7999999999999998</x:v>
      </x:c>
      <x:c r="L31" s="28" t="str">
        <x:v>Status unresolved</x:v>
      </x:c>
      <x:c r="M31" s="28" t="str">
        <x:v>Low-Medium</x:v>
      </x:c>
      <x:c r="N31" s="28" t="str">
        <x:v>Model hypothesis</x:v>
      </x:c>
    </x:row>
    <x:row r="32">
      <x:c r="A32" s="28" t="str">
        <x:v>Vera Wang</x:v>
      </x:c>
      <x:c r="B32" s="28" t="str">
        <x:v>Vera Wang</x:v>
      </x:c>
      <x:c r="C32" s="28" t="str">
        <x:v>Private independent</x:v>
      </x:c>
      <x:c r="D32" s="28" t="str">
        <x:v>Brand/licensing-heavy hypothesis</x:v>
      </x:c>
      <x:c r="E32" s="29" t="n">
        <x:v>0.5</x:v>
      </x:c>
      <x:c r="F32" s="29" t="n">
        <x:v>0.9</x:v>
      </x:c>
      <x:c r="G32" s="29" t="n">
        <x:v>1.4</x:v>
      </x:c>
      <x:c r="H32" s="30" t="n">
        <x:v>0.3</x:v>
      </x:c>
      <x:c r="I32" s="31" t="n">
        <x:f>E32*H32</x:f>
        <x:v>0.15</x:v>
      </x:c>
      <x:c r="J32" s="31" t="n">
        <x:f>F32*H32</x:f>
        <x:v>0.27</x:v>
      </x:c>
      <x:c r="K32" s="31" t="n">
        <x:f>G32*H32</x:f>
        <x:v>0.42</x:v>
      </x:c>
      <x:c r="L32" s="28" t="str">
        <x:v>Status unresolved</x:v>
      </x:c>
      <x:c r="M32" s="28" t="str">
        <x:v>Low</x:v>
      </x:c>
      <x:c r="N32" s="28" t="str">
        <x:v>Model hypothesis</x:v>
      </x:c>
    </x:row>
    <x:row r="33">
      <x:c r="A33" s="28" t="str">
        <x:v>Jacquemus</x:v>
      </x:c>
      <x:c r="B33" s="28" t="str">
        <x:v>Jacquemus</x:v>
      </x:c>
      <x:c r="C33" s="28" t="str">
        <x:v>Private independent</x:v>
      </x:c>
      <x:c r="D33" s="28" t="str">
        <x:v>High-growth designer-house hypothesis</x:v>
      </x:c>
      <x:c r="E33" s="29" t="n">
        <x:v>1</x:v>
      </x:c>
      <x:c r="F33" s="29" t="n">
        <x:v>1.8</x:v>
      </x:c>
      <x:c r="G33" s="29" t="n">
        <x:v>3</x:v>
      </x:c>
      <x:c r="H33" s="30" t="n">
        <x:v>0.3</x:v>
      </x:c>
      <x:c r="I33" s="31" t="n">
        <x:f>E33*H33</x:f>
        <x:v>0.3</x:v>
      </x:c>
      <x:c r="J33" s="31" t="n">
        <x:f>F33*H33</x:f>
        <x:v>0.54</x:v>
      </x:c>
      <x:c r="K33" s="31" t="n">
        <x:f>G33*H33</x:f>
        <x:v>0.8999999999999999</x:v>
      </x:c>
      <x:c r="L33" s="28" t="str">
        <x:v>Status unresolved</x:v>
      </x:c>
      <x:c r="M33" s="28" t="str">
        <x:v>Low-Medium</x:v>
      </x:c>
      <x:c r="N33" s="28" t="str">
        <x:v>Model hypothesis</x:v>
      </x:c>
    </x:row>
    <x:row r="34">
      <x:c r="A34" s="28" t="str">
        <x:v>Balmain</x:v>
      </x:c>
      <x:c r="B34" s="28" t="str">
        <x:v>Balmain</x:v>
      </x:c>
      <x:c r="C34" s="28" t="str">
        <x:v>Private independent</x:v>
      </x:c>
      <x:c r="D34" s="28" t="str">
        <x:v>Luxury-house hypothesis</x:v>
      </x:c>
      <x:c r="E34" s="29" t="n">
        <x:v>1.2</x:v>
      </x:c>
      <x:c r="F34" s="29" t="n">
        <x:v>2</x:v>
      </x:c>
      <x:c r="G34" s="29" t="n">
        <x:v>3.2</x:v>
      </x:c>
      <x:c r="H34" s="30" t="n">
        <x:v>0.3</x:v>
      </x:c>
      <x:c r="I34" s="31" t="n">
        <x:f>E34*H34</x:f>
        <x:v>0.36</x:v>
      </x:c>
      <x:c r="J34" s="31" t="n">
        <x:f>F34*H34</x:f>
        <x:v>0.6</x:v>
      </x:c>
      <x:c r="K34" s="31" t="n">
        <x:f>G34*H34</x:f>
        <x:v>0.96</x:v>
      </x:c>
      <x:c r="L34" s="28" t="str">
        <x:v>Status unresolved</x:v>
      </x:c>
      <x:c r="M34" s="28" t="str">
        <x:v>Low-Medium</x:v>
      </x:c>
      <x:c r="N34" s="28" t="str">
        <x:v>Model hypothesis</x:v>
      </x:c>
    </x:row>
    <x:row r="35">
      <x:c r="A35" s="28" t="str">
        <x:v>Stella McCartney</x:v>
      </x:c>
      <x:c r="B35" s="28" t="str">
        <x:v>Stella McCartney</x:v>
      </x:c>
      <x:c r="C35" s="28" t="str">
        <x:v>Private independent</x:v>
      </x:c>
      <x:c r="D35" s="28" t="str">
        <x:v>Designer-house hypothesis</x:v>
      </x:c>
      <x:c r="E35" s="29" t="n">
        <x:v>0.5</x:v>
      </x:c>
      <x:c r="F35" s="29" t="n">
        <x:v>0.9</x:v>
      </x:c>
      <x:c r="G35" s="29" t="n">
        <x:v>1.5</x:v>
      </x:c>
      <x:c r="H35" s="30" t="n">
        <x:v>0</x:v>
      </x:c>
      <x:c r="I35" s="31" t="n">
        <x:f>E35*H35</x:f>
        <x:v>0</x:v>
      </x:c>
      <x:c r="J35" s="31" t="n">
        <x:f>F35*H35</x:f>
        <x:v>0</x:v>
      </x:c>
      <x:c r="K35" s="31" t="n">
        <x:f>G35*H35</x:f>
        <x:v>0</x:v>
      </x:c>
      <x:c r="L35" s="28" t="str">
        <x:v>SUPERSEDED by explicit final-use rows below; retained for audit trail, excluded from totals</x:v>
      </x:c>
      <x:c r="M35" s="28" t="str">
        <x:v>Low</x:v>
      </x:c>
      <x:c r="N35" s="28" t="str">
        <x:v>Model hypothesis</x:v>
      </x:c>
    </x:row>
    <x:row r="36">
      <x:c r="A36" s="28" t="str">
        <x:v>Independent long-tail basket</x:v>
      </x:c>
      <x:c r="B36" s="28" t="str">
        <x:v>Schiaparelli, Paul Smith, Ann Demeulemeester, Yohji Yamamoto, Issey Miyake, Proenza Schouler, Rodarte, Jason Wu, Erdem, Simone Rocha, JW Anderson, Roksanda, Mary Katrantzou, Christopher Kane, Emilia Wickstead, Rejina Pyo, Casablanca, Marine Serre, Coperni, Cavalli + others</x:v>
      </x:c>
      <x:c r="C36" s="28" t="str">
        <x:v>Private basket</x:v>
      </x:c>
      <x:c r="D36" s="28" t="str">
        <x:v>Aggregate hypothesis pending row-by-row research</x:v>
      </x:c>
      <x:c r="E36" s="29" t="n">
        <x:v>12</x:v>
      </x:c>
      <x:c r="F36" s="29" t="n">
        <x:v>20</x:v>
      </x:c>
      <x:c r="G36" s="29" t="n">
        <x:v>32</x:v>
      </x:c>
      <x:c r="H36" s="30" t="n">
        <x:v>0</x:v>
      </x:c>
      <x:c r="I36" s="31" t="n">
        <x:f>E36*H36</x:f>
        <x:v>0</x:v>
      </x:c>
      <x:c r="J36" s="31" t="n">
        <x:f>F36*H36</x:f>
        <x:v>0</x:v>
      </x:c>
      <x:c r="K36" s="31" t="n">
        <x:f>G36*H36</x:f>
        <x:v>0</x:v>
      </x:c>
      <x:c r="L36" s="28" t="str">
        <x:v>SUPERSEDED by explicit final-use rows below; retained for audit trail, excluded from totals</x:v>
      </x:c>
      <x:c r="M36" s="28" t="str">
        <x:v>Low</x:v>
      </x:c>
      <x:c r="N36" s="28" t="str">
        <x:v>Model hypothesis based on Jim source-map roster</x:v>
      </x:c>
    </x:row>
    <x:row r="37">
      <x:c r="A37" s="28" t="str">
        <x:v>Professional salon supply networks</x:v>
      </x:c>
      <x:c r="B37" s="28" t="str">
        <x:v>SalonCentric / CosmoProf / Marlo / Qosmedix / Paramount Beauty as mapped</x:v>
      </x:c>
      <x:c r="C37" s="28" t="str">
        <x:v>Mixed support assets</x:v>
      </x:c>
      <x:c r="D37" s="28" t="str">
        <x:v>Aggregate infrastructure hypothesis</x:v>
      </x:c>
      <x:c r="E37" s="29" t="n">
        <x:v>4</x:v>
      </x:c>
      <x:c r="F37" s="29" t="n">
        <x:v>7</x:v>
      </x:c>
      <x:c r="G37" s="29" t="n">
        <x:v>11</x:v>
      </x:c>
      <x:c r="H37" s="30" t="n">
        <x:v>0</x:v>
      </x:c>
      <x:c r="I37" s="31" t="n">
        <x:f>E37*H37</x:f>
        <x:v>0</x:v>
      </x:c>
      <x:c r="J37" s="31" t="n">
        <x:f>F37*H37</x:f>
        <x:v>0</x:v>
      </x:c>
      <x:c r="K37" s="31" t="n">
        <x:f>G37*H37</x:f>
        <x:v>0</x:v>
      </x:c>
      <x:c r="L37" s="28" t="str">
        <x:v>SUPERSEDED by explicit final-use rows below; retained for audit trail, excluded from totals</x:v>
      </x:c>
      <x:c r="M37" s="28" t="str">
        <x:v>Low</x:v>
      </x:c>
      <x:c r="N37" s="28" t="str">
        <x:v>Model hypothesis</x:v>
      </x:c>
    </x:row>
    <x:row r="38">
      <x:c r="A38" s="28" t="str">
        <x:v>Logistics &amp; secure freight</x:v>
      </x:c>
      <x:c r="B38" s="28" t="str">
        <x:v>Bleckmann + Crown Logistics as mapped</x:v>
      </x:c>
      <x:c r="C38" s="28" t="str">
        <x:v>Private infrastructure</x:v>
      </x:c>
      <x:c r="D38" s="28" t="str">
        <x:v>Aggregate hypothesis</x:v>
      </x:c>
      <x:c r="E38" s="29" t="n">
        <x:v>3</x:v>
      </x:c>
      <x:c r="F38" s="29" t="n">
        <x:v>5</x:v>
      </x:c>
      <x:c r="G38" s="29" t="n">
        <x:v>8</x:v>
      </x:c>
      <x:c r="H38" s="30" t="n">
        <x:v>0</x:v>
      </x:c>
      <x:c r="I38" s="31" t="n">
        <x:f>E38*H38</x:f>
        <x:v>0</x:v>
      </x:c>
      <x:c r="J38" s="31" t="n">
        <x:f>F38*H38</x:f>
        <x:v>0</x:v>
      </x:c>
      <x:c r="K38" s="31" t="n">
        <x:f>G38*H38</x:f>
        <x:v>0</x:v>
      </x:c>
      <x:c r="L38" s="28" t="str">
        <x:v>SUPERSEDED by explicit final-use rows below; retained for audit trail, excluded from totals</x:v>
      </x:c>
      <x:c r="M38" s="28" t="str">
        <x:v>Low-Medium</x:v>
      </x:c>
      <x:c r="N38" s="28" t="str">
        <x:v>Model hypothesis</x:v>
      </x:c>
    </x:row>
    <x:row r="39">
      <x:c r="A39" s="28" t="str">
        <x:v>Como silk / artisanal infrastructure</x:v>
      </x:c>
      <x:c r="B39" s="28" t="str">
        <x:v>Como silk weaving cooperatives / mills</x:v>
      </x:c>
      <x:c r="C39" s="28" t="str">
        <x:v>Private infrastructure</x:v>
      </x:c>
      <x:c r="D39" s="28" t="str">
        <x:v>Aggregate hypothesis</x:v>
      </x:c>
      <x:c r="E39" s="29" t="n">
        <x:v>1.5</x:v>
      </x:c>
      <x:c r="F39" s="29" t="n">
        <x:v>3</x:v>
      </x:c>
      <x:c r="G39" s="29" t="n">
        <x:v>5</x:v>
      </x:c>
      <x:c r="H39" s="30" t="n">
        <x:v>0.75</x:v>
      </x:c>
      <x:c r="I39" s="31" t="n">
        <x:f>E39*H39</x:f>
        <x:v>1.125</x:v>
      </x:c>
      <x:c r="J39" s="31" t="n">
        <x:f>F39*H39</x:f>
        <x:v>2.25</x:v>
      </x:c>
      <x:c r="K39" s="31" t="n">
        <x:f>G39*H39</x:f>
        <x:v>3.75</x:v>
      </x:c>
      <x:c r="L39" s="28" t="str">
        <x:v>Later Patronage infrastructure may overlap</x:v>
      </x:c>
      <x:c r="M39" s="28" t="str">
        <x:v>Low</x:v>
      </x:c>
      <x:c r="N39" s="28" t="str">
        <x:v>Model hypothesis</x:v>
      </x:c>
    </x:row>
    <x:row r="40">
      <x:c r="A40" s="28" t="str">
        <x:v>OTB Group</x:v>
      </x:c>
      <x:c r="B40" s="28" t="str">
        <x:v>Maison Margiela, Jil Sander, Marni, Viktor &amp; Rolf</x:v>
      </x:c>
      <x:c r="C40" s="28" t="str">
        <x:v>Private parent</x:v>
      </x:c>
      <x:c r="D40" s="28" t="str">
        <x:v>Source-document holding range</x:v>
      </x:c>
      <x:c r="E40" s="47" t="n">
        <x:v>3</x:v>
      </x:c>
      <x:c r="F40" s="47" t="n">
        <x:v>4</x:v>
      </x:c>
      <x:c r="G40" s="47" t="n">
        <x:v>5</x:v>
      </x:c>
      <x:c r="H40" s="30" t="n">
        <x:v>0.3</x:v>
      </x:c>
      <x:c r="I40" s="48" t="n">
        <x:f>E40*H40</x:f>
        <x:v>0.8999999999999999</x:v>
      </x:c>
      <x:c r="J40" s="48" t="n">
        <x:f>F40*H40</x:f>
        <x:v>1.2</x:v>
      </x:c>
      <x:c r="K40" s="48" t="n">
        <x:f>G40*H40</x:f>
        <x:v>1.5</x:v>
      </x:c>
      <x:c r="L40" s="28" t="str">
        <x:v>NEW explicit parent from final-use source; count parent once</x:v>
      </x:c>
      <x:c r="M40" s="28" t="str">
        <x:v>Medium</x:v>
      </x:c>
      <x:c r="N40" s="28" t="str">
        <x:v>User source: the fashion empire final use this.docx</x:v>
      </x:c>
    </x:row>
    <x:row r="41">
      <x:c r="A41" s="28" t="str">
        <x:v>Off-White</x:v>
      </x:c>
      <x:c r="B41" s="28" t="str">
        <x:v>Off-White</x:v>
      </x:c>
      <x:c r="C41" s="28" t="str">
        <x:v>Private independent</x:v>
      </x:c>
      <x:c r="D41" s="28" t="str">
        <x:v>Source-document hypothesis</x:v>
      </x:c>
      <x:c r="E41" s="47" t="n">
        <x:v>0.3</x:v>
      </x:c>
      <x:c r="F41" s="47" t="n">
        <x:v>0.3</x:v>
      </x:c>
      <x:c r="G41" s="47" t="n">
        <x:v>0.3</x:v>
      </x:c>
      <x:c r="H41" s="30" t="n">
        <x:v>0.3</x:v>
      </x:c>
      <x:c r="I41" s="48" t="n">
        <x:f>E41*H41</x:f>
        <x:v>0.09</x:v>
      </x:c>
      <x:c r="J41" s="48" t="n">
        <x:f>F41*H41</x:f>
        <x:v>0.09</x:v>
      </x:c>
      <x:c r="K41" s="48" t="n">
        <x:f>G41*H41</x:f>
        <x:v>0.09</x:v>
      </x:c>
      <x:c r="L41" s="28" t="str">
        <x:v>NEW explicit independent asset</x:v>
      </x:c>
      <x:c r="M41" s="28" t="str">
        <x:v>Low-Medium</x:v>
      </x:c>
      <x:c r="N41" s="28" t="str">
        <x:v>User source hypothesis</x:v>
      </x:c>
    </x:row>
    <x:row r="42">
      <x:c r="A42" s="28" t="str">
        <x:v>Vivienne Westwood</x:v>
      </x:c>
      <x:c r="B42" s="28" t="str">
        <x:v>Vivienne Westwood</x:v>
      </x:c>
      <x:c r="C42" s="28" t="str">
        <x:v>Private independent</x:v>
      </x:c>
      <x:c r="D42" s="28" t="str">
        <x:v>Source-document hypothesis</x:v>
      </x:c>
      <x:c r="E42" s="47" t="n">
        <x:v>0.3</x:v>
      </x:c>
      <x:c r="F42" s="47" t="n">
        <x:v>0.3</x:v>
      </x:c>
      <x:c r="G42" s="47" t="n">
        <x:v>0.3</x:v>
      </x:c>
      <x:c r="H42" s="30" t="n">
        <x:v>0.3</x:v>
      </x:c>
      <x:c r="I42" s="48" t="n">
        <x:f>E42*H42</x:f>
        <x:v>0.09</x:v>
      </x:c>
      <x:c r="J42" s="48" t="n">
        <x:f>F42*H42</x:f>
        <x:v>0.09</x:v>
      </x:c>
      <x:c r="K42" s="48" t="n">
        <x:f>G42*H42</x:f>
        <x:v>0.09</x:v>
      </x:c>
      <x:c r="L42" s="28" t="str">
        <x:v>NEW explicit independent asset</x:v>
      </x:c>
      <x:c r="M42" s="28" t="str">
        <x:v>Low-Medium</x:v>
      </x:c>
      <x:c r="N42" s="28" t="str">
        <x:v>User source hypothesis</x:v>
      </x:c>
    </x:row>
    <x:row r="43">
      <x:c r="A43" s="28" t="str">
        <x:v>Schiaparelli</x:v>
      </x:c>
      <x:c r="B43" s="28" t="str">
        <x:v>Schiaparelli</x:v>
      </x:c>
      <x:c r="C43" s="28" t="str">
        <x:v>Private independent</x:v>
      </x:c>
      <x:c r="D43" s="28" t="str">
        <x:v>Source-document hypothesis</x:v>
      </x:c>
      <x:c r="E43" s="47" t="n">
        <x:v>0.25</x:v>
      </x:c>
      <x:c r="F43" s="47" t="n">
        <x:v>0.25</x:v>
      </x:c>
      <x:c r="G43" s="47" t="n">
        <x:v>0.25</x:v>
      </x:c>
      <x:c r="H43" s="30" t="n">
        <x:v>0.3</x:v>
      </x:c>
      <x:c r="I43" s="48" t="n">
        <x:f>E43*H43</x:f>
        <x:v>0.075</x:v>
      </x:c>
      <x:c r="J43" s="48" t="n">
        <x:f>F43*H43</x:f>
        <x:v>0.075</x:v>
      </x:c>
      <x:c r="K43" s="48" t="n">
        <x:f>G43*H43</x:f>
        <x:v>0.075</x:v>
      </x:c>
      <x:c r="L43" s="28" t="str">
        <x:v>Replaces portion of temporary long-tail basket</x:v>
      </x:c>
      <x:c r="M43" s="28" t="str">
        <x:v>Low-Medium</x:v>
      </x:c>
      <x:c r="N43" s="28" t="str">
        <x:v>User source hypothesis</x:v>
      </x:c>
    </x:row>
    <x:row r="44">
      <x:c r="A44" s="28" t="str">
        <x:v>Mugler</x:v>
      </x:c>
      <x:c r="B44" s="28" t="str">
        <x:v>Mugler</x:v>
      </x:c>
      <x:c r="C44" s="28" t="str">
        <x:v>Private independent</x:v>
      </x:c>
      <x:c r="D44" s="28" t="str">
        <x:v>Source-document hypothesis</x:v>
      </x:c>
      <x:c r="E44" s="47" t="n">
        <x:v>0.4</x:v>
      </x:c>
      <x:c r="F44" s="47" t="n">
        <x:v>0.4</x:v>
      </x:c>
      <x:c r="G44" s="47" t="n">
        <x:v>0.4</x:v>
      </x:c>
      <x:c r="H44" s="30" t="n">
        <x:v>0.3</x:v>
      </x:c>
      <x:c r="I44" s="48" t="n">
        <x:f>E44*H44</x:f>
        <x:v>0.12</x:v>
      </x:c>
      <x:c r="J44" s="48" t="n">
        <x:f>F44*H44</x:f>
        <x:v>0.12</x:v>
      </x:c>
      <x:c r="K44" s="48" t="n">
        <x:f>G44*H44</x:f>
        <x:v>0.12</x:v>
      </x:c>
      <x:c r="L44" s="28" t="str">
        <x:v>NEW explicit independent asset</x:v>
      </x:c>
      <x:c r="M44" s="28" t="str">
        <x:v>Low-Medium</x:v>
      </x:c>
      <x:c r="N44" s="28" t="str">
        <x:v>User source hypothesis</x:v>
      </x:c>
    </x:row>
    <x:row r="45">
      <x:c r="A45" s="28" t="str">
        <x:v>Paul Smith</x:v>
      </x:c>
      <x:c r="B45" s="28" t="str">
        <x:v>Paul Smith</x:v>
      </x:c>
      <x:c r="C45" s="28" t="str">
        <x:v>Private independent</x:v>
      </x:c>
      <x:c r="D45" s="28" t="str">
        <x:v>Source-document hypothesis</x:v>
      </x:c>
      <x:c r="E45" s="47" t="n">
        <x:v>0.3</x:v>
      </x:c>
      <x:c r="F45" s="47" t="n">
        <x:v>0.3</x:v>
      </x:c>
      <x:c r="G45" s="47" t="n">
        <x:v>0.3</x:v>
      </x:c>
      <x:c r="H45" s="30" t="n">
        <x:v>0.3</x:v>
      </x:c>
      <x:c r="I45" s="48" t="n">
        <x:f>E45*H45</x:f>
        <x:v>0.09</x:v>
      </x:c>
      <x:c r="J45" s="48" t="n">
        <x:f>F45*H45</x:f>
        <x:v>0.09</x:v>
      </x:c>
      <x:c r="K45" s="48" t="n">
        <x:f>G45*H45</x:f>
        <x:v>0.09</x:v>
      </x:c>
      <x:c r="L45" s="28" t="str">
        <x:v>Replaces portion of temporary long-tail basket</x:v>
      </x:c>
      <x:c r="M45" s="28" t="str">
        <x:v>Low-Medium</x:v>
      </x:c>
      <x:c r="N45" s="28" t="str">
        <x:v>User source hypothesis</x:v>
      </x:c>
    </x:row>
    <x:row r="46">
      <x:c r="A46" s="28" t="str">
        <x:v>Ann Demeulemeester</x:v>
      </x:c>
      <x:c r="B46" s="28" t="str">
        <x:v>Ann Demeulemeester</x:v>
      </x:c>
      <x:c r="C46" s="28" t="str">
        <x:v>Private independent</x:v>
      </x:c>
      <x:c r="D46" s="28" t="str">
        <x:v>Source-document hypothesis</x:v>
      </x:c>
      <x:c r="E46" s="47" t="n">
        <x:v>0.15</x:v>
      </x:c>
      <x:c r="F46" s="47" t="n">
        <x:v>0.15</x:v>
      </x:c>
      <x:c r="G46" s="47" t="n">
        <x:v>0.15</x:v>
      </x:c>
      <x:c r="H46" s="30" t="n">
        <x:v>0.3</x:v>
      </x:c>
      <x:c r="I46" s="48" t="n">
        <x:f>E46*H46</x:f>
        <x:v>0.045</x:v>
      </x:c>
      <x:c r="J46" s="48" t="n">
        <x:f>F46*H46</x:f>
        <x:v>0.045</x:v>
      </x:c>
      <x:c r="K46" s="48" t="n">
        <x:f>G46*H46</x:f>
        <x:v>0.045</x:v>
      </x:c>
      <x:c r="L46" s="28" t="str">
        <x:v>Replaces portion of temporary long-tail basket</x:v>
      </x:c>
      <x:c r="M46" s="28" t="str">
        <x:v>Low-Medium</x:v>
      </x:c>
      <x:c r="N46" s="28" t="str">
        <x:v>User source hypothesis</x:v>
      </x:c>
    </x:row>
    <x:row r="47">
      <x:c r="A47" s="28" t="str">
        <x:v>Yohji Yamamoto</x:v>
      </x:c>
      <x:c r="B47" s="28" t="str">
        <x:v>Yohji Yamamoto</x:v>
      </x:c>
      <x:c r="C47" s="28" t="str">
        <x:v>Private independent</x:v>
      </x:c>
      <x:c r="D47" s="28" t="str">
        <x:v>Source-document hypothesis</x:v>
      </x:c>
      <x:c r="E47" s="47" t="n">
        <x:v>0.3</x:v>
      </x:c>
      <x:c r="F47" s="47" t="n">
        <x:v>0.3</x:v>
      </x:c>
      <x:c r="G47" s="47" t="n">
        <x:v>0.3</x:v>
      </x:c>
      <x:c r="H47" s="30" t="n">
        <x:v>0.3</x:v>
      </x:c>
      <x:c r="I47" s="48" t="n">
        <x:f>E47*H47</x:f>
        <x:v>0.09</x:v>
      </x:c>
      <x:c r="J47" s="48" t="n">
        <x:f>F47*H47</x:f>
        <x:v>0.09</x:v>
      </x:c>
      <x:c r="K47" s="48" t="n">
        <x:f>G47*H47</x:f>
        <x:v>0.09</x:v>
      </x:c>
      <x:c r="L47" s="28" t="str">
        <x:v>Replaces portion of temporary long-tail basket</x:v>
      </x:c>
      <x:c r="M47" s="28" t="str">
        <x:v>Low-Medium</x:v>
      </x:c>
      <x:c r="N47" s="28" t="str">
        <x:v>User source hypothesis</x:v>
      </x:c>
    </x:row>
    <x:row r="48">
      <x:c r="A48" s="28" t="str">
        <x:v>Issey Miyake</x:v>
      </x:c>
      <x:c r="B48" s="28" t="str">
        <x:v>Issey Miyake</x:v>
      </x:c>
      <x:c r="C48" s="28" t="str">
        <x:v>Private independent</x:v>
      </x:c>
      <x:c r="D48" s="28" t="str">
        <x:v>Source-document hypothesis</x:v>
      </x:c>
      <x:c r="E48" s="47" t="n">
        <x:v>0.5</x:v>
      </x:c>
      <x:c r="F48" s="47" t="n">
        <x:v>0.5</x:v>
      </x:c>
      <x:c r="G48" s="47" t="n">
        <x:v>0.5</x:v>
      </x:c>
      <x:c r="H48" s="30" t="n">
        <x:v>0.3</x:v>
      </x:c>
      <x:c r="I48" s="48" t="n">
        <x:f>E48*H48</x:f>
        <x:v>0.15</x:v>
      </x:c>
      <x:c r="J48" s="48" t="n">
        <x:f>F48*H48</x:f>
        <x:v>0.15</x:v>
      </x:c>
      <x:c r="K48" s="48" t="n">
        <x:f>G48*H48</x:f>
        <x:v>0.15</x:v>
      </x:c>
      <x:c r="L48" s="28" t="str">
        <x:v>Replaces portion of temporary long-tail basket</x:v>
      </x:c>
      <x:c r="M48" s="28" t="str">
        <x:v>Low-Medium</x:v>
      </x:c>
      <x:c r="N48" s="28" t="str">
        <x:v>User source hypothesis</x:v>
      </x:c>
    </x:row>
    <x:row r="49">
      <x:c r="A49" s="28" t="str">
        <x:v>Proenza Schouler</x:v>
      </x:c>
      <x:c r="B49" s="28" t="str">
        <x:v>Proenza Schouler</x:v>
      </x:c>
      <x:c r="C49" s="28" t="str">
        <x:v>Private independent</x:v>
      </x:c>
      <x:c r="D49" s="28" t="str">
        <x:v>Source-document hypothesis</x:v>
      </x:c>
      <x:c r="E49" s="47" t="n">
        <x:v>0.2</x:v>
      </x:c>
      <x:c r="F49" s="47" t="n">
        <x:v>0.2</x:v>
      </x:c>
      <x:c r="G49" s="47" t="n">
        <x:v>0.2</x:v>
      </x:c>
      <x:c r="H49" s="30" t="n">
        <x:v>0.3</x:v>
      </x:c>
      <x:c r="I49" s="48" t="n">
        <x:f>E49*H49</x:f>
        <x:v>0.06</x:v>
      </x:c>
      <x:c r="J49" s="48" t="n">
        <x:f>F49*H49</x:f>
        <x:v>0.06</x:v>
      </x:c>
      <x:c r="K49" s="48" t="n">
        <x:f>G49*H49</x:f>
        <x:v>0.06</x:v>
      </x:c>
      <x:c r="L49" s="28" t="str">
        <x:v>Replaces portion of temporary long-tail basket</x:v>
      </x:c>
      <x:c r="M49" s="28" t="str">
        <x:v>Low-Medium</x:v>
      </x:c>
      <x:c r="N49" s="28" t="str">
        <x:v>User source hypothesis</x:v>
      </x:c>
    </x:row>
    <x:row r="50">
      <x:c r="A50" s="28" t="str">
        <x:v>Rodarte</x:v>
      </x:c>
      <x:c r="B50" s="28" t="str">
        <x:v>Rodarte</x:v>
      </x:c>
      <x:c r="C50" s="28" t="str">
        <x:v>Private independent</x:v>
      </x:c>
      <x:c r="D50" s="28" t="str">
        <x:v>Source-document hypothesis</x:v>
      </x:c>
      <x:c r="E50" s="47" t="n">
        <x:v>0.1</x:v>
      </x:c>
      <x:c r="F50" s="47" t="n">
        <x:v>0.1</x:v>
      </x:c>
      <x:c r="G50" s="47" t="n">
        <x:v>0.1</x:v>
      </x:c>
      <x:c r="H50" s="30" t="n">
        <x:v>0.3</x:v>
      </x:c>
      <x:c r="I50" s="48" t="n">
        <x:f>E50*H50</x:f>
        <x:v>0.03</x:v>
      </x:c>
      <x:c r="J50" s="48" t="n">
        <x:f>F50*H50</x:f>
        <x:v>0.03</x:v>
      </x:c>
      <x:c r="K50" s="48" t="n">
        <x:f>G50*H50</x:f>
        <x:v>0.03</x:v>
      </x:c>
      <x:c r="L50" s="28" t="str">
        <x:v>Replaces portion of temporary long-tail basket</x:v>
      </x:c>
      <x:c r="M50" s="28" t="str">
        <x:v>Low-Medium</x:v>
      </x:c>
      <x:c r="N50" s="28" t="str">
        <x:v>User source hypothesis</x:v>
      </x:c>
    </x:row>
    <x:row r="51">
      <x:c r="A51" s="28" t="str">
        <x:v>Jason Wu</x:v>
      </x:c>
      <x:c r="B51" s="28" t="str">
        <x:v>Jason Wu</x:v>
      </x:c>
      <x:c r="C51" s="28" t="str">
        <x:v>Private independent</x:v>
      </x:c>
      <x:c r="D51" s="28" t="str">
        <x:v>Source-document hypothesis</x:v>
      </x:c>
      <x:c r="E51" s="47" t="n">
        <x:v>0.15</x:v>
      </x:c>
      <x:c r="F51" s="47" t="n">
        <x:v>0.15</x:v>
      </x:c>
      <x:c r="G51" s="47" t="n">
        <x:v>0.15</x:v>
      </x:c>
      <x:c r="H51" s="30" t="n">
        <x:v>0.3</x:v>
      </x:c>
      <x:c r="I51" s="48" t="n">
        <x:f>E51*H51</x:f>
        <x:v>0.045</x:v>
      </x:c>
      <x:c r="J51" s="48" t="n">
        <x:f>F51*H51</x:f>
        <x:v>0.045</x:v>
      </x:c>
      <x:c r="K51" s="48" t="n">
        <x:f>G51*H51</x:f>
        <x:v>0.045</x:v>
      </x:c>
      <x:c r="L51" s="28" t="str">
        <x:v>Replaces portion of temporary long-tail basket</x:v>
      </x:c>
      <x:c r="M51" s="28" t="str">
        <x:v>Low-Medium</x:v>
      </x:c>
      <x:c r="N51" s="28" t="str">
        <x:v>User source hypothesis</x:v>
      </x:c>
    </x:row>
    <x:row r="52">
      <x:c r="A52" s="28" t="str">
        <x:v>Loro Piana</x:v>
      </x:c>
      <x:c r="B52" s="28" t="str">
        <x:v>Loro Piana</x:v>
      </x:c>
      <x:c r="C52" s="28" t="str">
        <x:v>Source-map independent / real-world LVMH child</x:v>
      </x:c>
      <x:c r="D52" s="28" t="str">
        <x:v>Source-document hypothesis</x:v>
      </x:c>
      <x:c r="E52" s="47" t="n">
        <x:v>3</x:v>
      </x:c>
      <x:c r="F52" s="47" t="n">
        <x:v>3</x:v>
      </x:c>
      <x:c r="G52" s="47" t="n">
        <x:v>3</x:v>
      </x:c>
      <x:c r="H52" s="30" t="n">
        <x:v>0</x:v>
      </x:c>
      <x:c r="I52" s="48" t="n">
        <x:f>E52*H52</x:f>
        <x:v>0</x:v>
      </x:c>
      <x:c r="J52" s="48" t="n">
        <x:f>F52*H52</x:f>
        <x:v>0</x:v>
      </x:c>
      <x:c r="K52" s="48" t="n">
        <x:f>G52*H52</x:f>
        <x:v>0</x:v>
      </x:c>
      <x:c r="L52" s="28" t="str">
        <x:v>OVERLAP EXCLUDED FROM TOTAL: source lists as independent, but Loro Piana is inside LVMH; preserve row for source fidelity, do not double count</x:v>
      </x:c>
      <x:c r="M52" s="28" t="str">
        <x:v>Low</x:v>
      </x:c>
      <x:c r="N52" s="28" t="str">
        <x:v>User source hypothesis; structural overlap flagged</x:v>
      </x:c>
    </x:row>
    <x:row r="53">
      <x:c r="A53" s="28" t="str">
        <x:v>Bally</x:v>
      </x:c>
      <x:c r="B53" s="28" t="str">
        <x:v>Bally</x:v>
      </x:c>
      <x:c r="C53" s="28" t="str">
        <x:v>Private independent</x:v>
      </x:c>
      <x:c r="D53" s="28" t="str">
        <x:v>Source-document hypothesis</x:v>
      </x:c>
      <x:c r="E53" s="47" t="n">
        <x:v>0.5</x:v>
      </x:c>
      <x:c r="F53" s="47" t="n">
        <x:v>0.5</x:v>
      </x:c>
      <x:c r="G53" s="47" t="n">
        <x:v>0.5</x:v>
      </x:c>
      <x:c r="H53" s="30" t="n">
        <x:v>0.3</x:v>
      </x:c>
      <x:c r="I53" s="48" t="n">
        <x:f>E53*H53</x:f>
        <x:v>0.15</x:v>
      </x:c>
      <x:c r="J53" s="48" t="n">
        <x:f>F53*H53</x:f>
        <x:v>0.15</x:v>
      </x:c>
      <x:c r="K53" s="48" t="n">
        <x:f>G53*H53</x:f>
        <x:v>0.15</x:v>
      </x:c>
      <x:c r="L53" s="28" t="str">
        <x:v>NEW explicit independent asset</x:v>
      </x:c>
      <x:c r="M53" s="28" t="str">
        <x:v>Low-Medium</x:v>
      </x:c>
      <x:c r="N53" s="28" t="str">
        <x:v>User source hypothesis</x:v>
      </x:c>
    </x:row>
    <x:row r="54">
      <x:c r="A54" s="28" t="str">
        <x:v>Tod's</x:v>
      </x:c>
      <x:c r="B54" s="28" t="str">
        <x:v>Tod's</x:v>
      </x:c>
      <x:c r="C54" s="28" t="str">
        <x:v>Private independent</x:v>
      </x:c>
      <x:c r="D54" s="28" t="str">
        <x:v>Source-document hypothesis</x:v>
      </x:c>
      <x:c r="E54" s="47" t="n">
        <x:v>1</x:v>
      </x:c>
      <x:c r="F54" s="47" t="n">
        <x:v>1</x:v>
      </x:c>
      <x:c r="G54" s="47" t="n">
        <x:v>1</x:v>
      </x:c>
      <x:c r="H54" s="30" t="n">
        <x:v>0.3</x:v>
      </x:c>
      <x:c r="I54" s="48" t="n">
        <x:f>E54*H54</x:f>
        <x:v>0.3</x:v>
      </x:c>
      <x:c r="J54" s="48" t="n">
        <x:f>F54*H54</x:f>
        <x:v>0.3</x:v>
      </x:c>
      <x:c r="K54" s="48" t="n">
        <x:f>G54*H54</x:f>
        <x:v>0.3</x:v>
      </x:c>
      <x:c r="L54" s="28" t="str">
        <x:v>NEW explicit independent asset</x:v>
      </x:c>
      <x:c r="M54" s="28" t="str">
        <x:v>Low-Medium</x:v>
      </x:c>
      <x:c r="N54" s="28" t="str">
        <x:v>User source hypothesis</x:v>
      </x:c>
    </x:row>
    <x:row r="55">
      <x:c r="A55" s="28" t="str">
        <x:v>Sergio Rossi</x:v>
      </x:c>
      <x:c r="B55" s="28" t="str">
        <x:v>Sergio Rossi</x:v>
      </x:c>
      <x:c r="C55" s="28" t="str">
        <x:v>Private independent</x:v>
      </x:c>
      <x:c r="D55" s="28" t="str">
        <x:v>Source-document hypothesis</x:v>
      </x:c>
      <x:c r="E55" s="47" t="n">
        <x:v>0.2</x:v>
      </x:c>
      <x:c r="F55" s="47" t="n">
        <x:v>0.2</x:v>
      </x:c>
      <x:c r="G55" s="47" t="n">
        <x:v>0.2</x:v>
      </x:c>
      <x:c r="H55" s="30" t="n">
        <x:v>0.3</x:v>
      </x:c>
      <x:c r="I55" s="48" t="n">
        <x:f>E55*H55</x:f>
        <x:v>0.06</x:v>
      </x:c>
      <x:c r="J55" s="48" t="n">
        <x:f>F55*H55</x:f>
        <x:v>0.06</x:v>
      </x:c>
      <x:c r="K55" s="48" t="n">
        <x:f>G55*H55</x:f>
        <x:v>0.06</x:v>
      </x:c>
      <x:c r="L55" s="28" t="str">
        <x:v>NEW explicit independent asset</x:v>
      </x:c>
      <x:c r="M55" s="28" t="str">
        <x:v>Low-Medium</x:v>
      </x:c>
      <x:c r="N55" s="28" t="str">
        <x:v>User source hypothesis</x:v>
      </x:c>
    </x:row>
    <x:row r="56">
      <x:c r="A56" s="28" t="str">
        <x:v>Giuseppe Zanotti</x:v>
      </x:c>
      <x:c r="B56" s="28" t="str">
        <x:v>Giuseppe Zanotti</x:v>
      </x:c>
      <x:c r="C56" s="28" t="str">
        <x:v>Private independent</x:v>
      </x:c>
      <x:c r="D56" s="28" t="str">
        <x:v>Source-document hypothesis</x:v>
      </x:c>
      <x:c r="E56" s="47" t="n">
        <x:v>0.2</x:v>
      </x:c>
      <x:c r="F56" s="47" t="n">
        <x:v>0.2</x:v>
      </x:c>
      <x:c r="G56" s="47" t="n">
        <x:v>0.2</x:v>
      </x:c>
      <x:c r="H56" s="30" t="n">
        <x:v>0.3</x:v>
      </x:c>
      <x:c r="I56" s="48" t="n">
        <x:f>E56*H56</x:f>
        <x:v>0.06</x:v>
      </x:c>
      <x:c r="J56" s="48" t="n">
        <x:f>F56*H56</x:f>
        <x:v>0.06</x:v>
      </x:c>
      <x:c r="K56" s="48" t="n">
        <x:f>G56*H56</x:f>
        <x:v>0.06</x:v>
      </x:c>
      <x:c r="L56" s="28" t="str">
        <x:v>NEW explicit independent asset</x:v>
      </x:c>
      <x:c r="M56" s="28" t="str">
        <x:v>Low-Medium</x:v>
      </x:c>
      <x:c r="N56" s="28" t="str">
        <x:v>User source hypothesis</x:v>
      </x:c>
    </x:row>
    <x:row r="57">
      <x:c r="A57" s="28" t="str">
        <x:v>Balmain Hair</x:v>
      </x:c>
      <x:c r="B57" s="28" t="str">
        <x:v>Balmain Hair</x:v>
      </x:c>
      <x:c r="C57" s="28" t="str">
        <x:v>Private independent</x:v>
      </x:c>
      <x:c r="D57" s="28" t="str">
        <x:v>Source-document hypothesis</x:v>
      </x:c>
      <x:c r="E57" s="47" t="n">
        <x:v>0.2</x:v>
      </x:c>
      <x:c r="F57" s="47" t="n">
        <x:v>0.2</x:v>
      </x:c>
      <x:c r="G57" s="47" t="n">
        <x:v>0.2</x:v>
      </x:c>
      <x:c r="H57" s="30" t="n">
        <x:v>0.3</x:v>
      </x:c>
      <x:c r="I57" s="48" t="n">
        <x:f>E57*H57</x:f>
        <x:v>0.06</x:v>
      </x:c>
      <x:c r="J57" s="48" t="n">
        <x:f>F57*H57</x:f>
        <x:v>0.06</x:v>
      </x:c>
      <x:c r="K57" s="48" t="n">
        <x:f>G57*H57</x:f>
        <x:v>0.06</x:v>
      </x:c>
      <x:c r="L57" s="28" t="str">
        <x:v>NEW explicit independent asset</x:v>
      </x:c>
      <x:c r="M57" s="28" t="str">
        <x:v>Low-Medium</x:v>
      </x:c>
      <x:c r="N57" s="28" t="str">
        <x:v>User source hypothesis</x:v>
      </x:c>
    </x:row>
    <x:row r="58">
      <x:c r="A58" s="28" t="str">
        <x:v>Erdem</x:v>
      </x:c>
      <x:c r="B58" s="28" t="str">
        <x:v>Erdem</x:v>
      </x:c>
      <x:c r="C58" s="28" t="str">
        <x:v>Private independent</x:v>
      </x:c>
      <x:c r="D58" s="28" t="str">
        <x:v>Source-document hypothesis</x:v>
      </x:c>
      <x:c r="E58" s="47" t="n">
        <x:v>0.1</x:v>
      </x:c>
      <x:c r="F58" s="47" t="n">
        <x:v>0.1</x:v>
      </x:c>
      <x:c r="G58" s="47" t="n">
        <x:v>0.1</x:v>
      </x:c>
      <x:c r="H58" s="30" t="n">
        <x:v>0.3</x:v>
      </x:c>
      <x:c r="I58" s="48" t="n">
        <x:f>E58*H58</x:f>
        <x:v>0.03</x:v>
      </x:c>
      <x:c r="J58" s="48" t="n">
        <x:f>F58*H58</x:f>
        <x:v>0.03</x:v>
      </x:c>
      <x:c r="K58" s="48" t="n">
        <x:f>G58*H58</x:f>
        <x:v>0.03</x:v>
      </x:c>
      <x:c r="L58" s="28" t="str">
        <x:v>Replaces portion of temporary long-tail basket</x:v>
      </x:c>
      <x:c r="M58" s="28" t="str">
        <x:v>Low-Medium</x:v>
      </x:c>
      <x:c r="N58" s="28" t="str">
        <x:v>User source hypothesis</x:v>
      </x:c>
    </x:row>
    <x:row r="59">
      <x:c r="A59" s="28" t="str">
        <x:v>Simone Rocha</x:v>
      </x:c>
      <x:c r="B59" s="28" t="str">
        <x:v>Simone Rocha</x:v>
      </x:c>
      <x:c r="C59" s="28" t="str">
        <x:v>Private independent</x:v>
      </x:c>
      <x:c r="D59" s="28" t="str">
        <x:v>Source-document hypothesis</x:v>
      </x:c>
      <x:c r="E59" s="47" t="n">
        <x:v>0.15</x:v>
      </x:c>
      <x:c r="F59" s="47" t="n">
        <x:v>0.15</x:v>
      </x:c>
      <x:c r="G59" s="47" t="n">
        <x:v>0.15</x:v>
      </x:c>
      <x:c r="H59" s="30" t="n">
        <x:v>0.3</x:v>
      </x:c>
      <x:c r="I59" s="48" t="n">
        <x:f>E59*H59</x:f>
        <x:v>0.045</x:v>
      </x:c>
      <x:c r="J59" s="48" t="n">
        <x:f>F59*H59</x:f>
        <x:v>0.045</x:v>
      </x:c>
      <x:c r="K59" s="48" t="n">
        <x:f>G59*H59</x:f>
        <x:v>0.045</x:v>
      </x:c>
      <x:c r="L59" s="28" t="str">
        <x:v>Replaces portion of temporary long-tail basket</x:v>
      </x:c>
      <x:c r="M59" s="28" t="str">
        <x:v>Low-Medium</x:v>
      </x:c>
      <x:c r="N59" s="28" t="str">
        <x:v>User source hypothesis</x:v>
      </x:c>
    </x:row>
    <x:row r="60">
      <x:c r="A60" s="28" t="str">
        <x:v>JW Anderson</x:v>
      </x:c>
      <x:c r="B60" s="28" t="str">
        <x:v>JW Anderson</x:v>
      </x:c>
      <x:c r="C60" s="28" t="str">
        <x:v>Private independent</x:v>
      </x:c>
      <x:c r="D60" s="28" t="str">
        <x:v>Source-document hypothesis</x:v>
      </x:c>
      <x:c r="E60" s="47" t="n">
        <x:v>0.2</x:v>
      </x:c>
      <x:c r="F60" s="47" t="n">
        <x:v>0.2</x:v>
      </x:c>
      <x:c r="G60" s="47" t="n">
        <x:v>0.2</x:v>
      </x:c>
      <x:c r="H60" s="30" t="n">
        <x:v>0.3</x:v>
      </x:c>
      <x:c r="I60" s="48" t="n">
        <x:f>E60*H60</x:f>
        <x:v>0.06</x:v>
      </x:c>
      <x:c r="J60" s="48" t="n">
        <x:f>F60*H60</x:f>
        <x:v>0.06</x:v>
      </x:c>
      <x:c r="K60" s="48" t="n">
        <x:f>G60*H60</x:f>
        <x:v>0.06</x:v>
      </x:c>
      <x:c r="L60" s="28" t="str">
        <x:v>Replaces portion of temporary long-tail basket</x:v>
      </x:c>
      <x:c r="M60" s="28" t="str">
        <x:v>Low-Medium</x:v>
      </x:c>
      <x:c r="N60" s="28" t="str">
        <x:v>User source hypothesis</x:v>
      </x:c>
    </x:row>
    <x:row r="61">
      <x:c r="A61" s="28" t="str">
        <x:v>Roksanda</x:v>
      </x:c>
      <x:c r="B61" s="28" t="str">
        <x:v>Roksanda</x:v>
      </x:c>
      <x:c r="C61" s="28" t="str">
        <x:v>Private independent</x:v>
      </x:c>
      <x:c r="D61" s="28" t="str">
        <x:v>Source-document hypothesis</x:v>
      </x:c>
      <x:c r="E61" s="47" t="n">
        <x:v>0.1</x:v>
      </x:c>
      <x:c r="F61" s="47" t="n">
        <x:v>0.1</x:v>
      </x:c>
      <x:c r="G61" s="47" t="n">
        <x:v>0.1</x:v>
      </x:c>
      <x:c r="H61" s="30" t="n">
        <x:v>0.3</x:v>
      </x:c>
      <x:c r="I61" s="48" t="n">
        <x:f>E61*H61</x:f>
        <x:v>0.03</x:v>
      </x:c>
      <x:c r="J61" s="48" t="n">
        <x:f>F61*H61</x:f>
        <x:v>0.03</x:v>
      </x:c>
      <x:c r="K61" s="48" t="n">
        <x:f>G61*H61</x:f>
        <x:v>0.03</x:v>
      </x:c>
      <x:c r="L61" s="28" t="str">
        <x:v>Replaces portion of temporary long-tail basket</x:v>
      </x:c>
      <x:c r="M61" s="28" t="str">
        <x:v>Low-Medium</x:v>
      </x:c>
      <x:c r="N61" s="28" t="str">
        <x:v>User source hypothesis</x:v>
      </x:c>
    </x:row>
    <x:row r="62">
      <x:c r="A62" s="28" t="str">
        <x:v>Mary Katrantzou</x:v>
      </x:c>
      <x:c r="B62" s="28" t="str">
        <x:v>Mary Katrantzou</x:v>
      </x:c>
      <x:c r="C62" s="28" t="str">
        <x:v>Private independent</x:v>
      </x:c>
      <x:c r="D62" s="28" t="str">
        <x:v>Source-document hypothesis</x:v>
      </x:c>
      <x:c r="E62" s="47" t="n">
        <x:v>0.1</x:v>
      </x:c>
      <x:c r="F62" s="47" t="n">
        <x:v>0.1</x:v>
      </x:c>
      <x:c r="G62" s="47" t="n">
        <x:v>0.1</x:v>
      </x:c>
      <x:c r="H62" s="30" t="n">
        <x:v>0.3</x:v>
      </x:c>
      <x:c r="I62" s="48" t="n">
        <x:f>E62*H62</x:f>
        <x:v>0.03</x:v>
      </x:c>
      <x:c r="J62" s="48" t="n">
        <x:f>F62*H62</x:f>
        <x:v>0.03</x:v>
      </x:c>
      <x:c r="K62" s="48" t="n">
        <x:f>G62*H62</x:f>
        <x:v>0.03</x:v>
      </x:c>
      <x:c r="L62" s="28" t="str">
        <x:v>Replaces portion of temporary long-tail basket</x:v>
      </x:c>
      <x:c r="M62" s="28" t="str">
        <x:v>Low-Medium</x:v>
      </x:c>
      <x:c r="N62" s="28" t="str">
        <x:v>User source hypothesis</x:v>
      </x:c>
    </x:row>
    <x:row r="63">
      <x:c r="A63" s="28" t="str">
        <x:v>Christopher Kane</x:v>
      </x:c>
      <x:c r="B63" s="28" t="str">
        <x:v>Christopher Kane</x:v>
      </x:c>
      <x:c r="C63" s="28" t="str">
        <x:v>Private independent</x:v>
      </x:c>
      <x:c r="D63" s="28" t="str">
        <x:v>Source-document hypothesis</x:v>
      </x:c>
      <x:c r="E63" s="47" t="n">
        <x:v>0.1</x:v>
      </x:c>
      <x:c r="F63" s="47" t="n">
        <x:v>0.1</x:v>
      </x:c>
      <x:c r="G63" s="47" t="n">
        <x:v>0.1</x:v>
      </x:c>
      <x:c r="H63" s="30" t="n">
        <x:v>0.3</x:v>
      </x:c>
      <x:c r="I63" s="48" t="n">
        <x:f>E63*H63</x:f>
        <x:v>0.03</x:v>
      </x:c>
      <x:c r="J63" s="48" t="n">
        <x:f>F63*H63</x:f>
        <x:v>0.03</x:v>
      </x:c>
      <x:c r="K63" s="48" t="n">
        <x:f>G63*H63</x:f>
        <x:v>0.03</x:v>
      </x:c>
      <x:c r="L63" s="28" t="str">
        <x:v>Replaces portion of temporary long-tail basket</x:v>
      </x:c>
      <x:c r="M63" s="28" t="str">
        <x:v>Low-Medium</x:v>
      </x:c>
      <x:c r="N63" s="28" t="str">
        <x:v>User source hypothesis</x:v>
      </x:c>
    </x:row>
    <x:row r="64">
      <x:c r="A64" s="28" t="str">
        <x:v>Emilia Wickstead</x:v>
      </x:c>
      <x:c r="B64" s="28" t="str">
        <x:v>Emilia Wickstead</x:v>
      </x:c>
      <x:c r="C64" s="28" t="str">
        <x:v>Private independent</x:v>
      </x:c>
      <x:c r="D64" s="28" t="str">
        <x:v>Source-document hypothesis</x:v>
      </x:c>
      <x:c r="E64" s="47" t="n">
        <x:v>0.1</x:v>
      </x:c>
      <x:c r="F64" s="47" t="n">
        <x:v>0.1</x:v>
      </x:c>
      <x:c r="G64" s="47" t="n">
        <x:v>0.1</x:v>
      </x:c>
      <x:c r="H64" s="30" t="n">
        <x:v>0.3</x:v>
      </x:c>
      <x:c r="I64" s="48" t="n">
        <x:f>E64*H64</x:f>
        <x:v>0.03</x:v>
      </x:c>
      <x:c r="J64" s="48" t="n">
        <x:f>F64*H64</x:f>
        <x:v>0.03</x:v>
      </x:c>
      <x:c r="K64" s="48" t="n">
        <x:f>G64*H64</x:f>
        <x:v>0.03</x:v>
      </x:c>
      <x:c r="L64" s="28" t="str">
        <x:v>Replaces portion of temporary long-tail basket</x:v>
      </x:c>
      <x:c r="M64" s="28" t="str">
        <x:v>Low-Medium</x:v>
      </x:c>
      <x:c r="N64" s="28" t="str">
        <x:v>User source hypothesis</x:v>
      </x:c>
    </x:row>
    <x:row r="65">
      <x:c r="A65" s="28" t="str">
        <x:v>Rejina Pyo</x:v>
      </x:c>
      <x:c r="B65" s="28" t="str">
        <x:v>Rejina Pyo</x:v>
      </x:c>
      <x:c r="C65" s="28" t="str">
        <x:v>Private independent</x:v>
      </x:c>
      <x:c r="D65" s="28" t="str">
        <x:v>Source-document hypothesis</x:v>
      </x:c>
      <x:c r="E65" s="47" t="n">
        <x:v>0.08</x:v>
      </x:c>
      <x:c r="F65" s="47" t="n">
        <x:v>0.08</x:v>
      </x:c>
      <x:c r="G65" s="47" t="n">
        <x:v>0.08</x:v>
      </x:c>
      <x:c r="H65" s="30" t="n">
        <x:v>0.3</x:v>
      </x:c>
      <x:c r="I65" s="48" t="n">
        <x:f>E65*H65</x:f>
        <x:v>0.024</x:v>
      </x:c>
      <x:c r="J65" s="48" t="n">
        <x:f>F65*H65</x:f>
        <x:v>0.024</x:v>
      </x:c>
      <x:c r="K65" s="48" t="n">
        <x:f>G65*H65</x:f>
        <x:v>0.024</x:v>
      </x:c>
      <x:c r="L65" s="28" t="str">
        <x:v>Replaces portion of temporary long-tail basket</x:v>
      </x:c>
      <x:c r="M65" s="28" t="str">
        <x:v>Low-Medium</x:v>
      </x:c>
      <x:c r="N65" s="28" t="str">
        <x:v>User source hypothesis</x:v>
      </x:c>
    </x:row>
    <x:row r="66">
      <x:c r="A66" s="28" t="str">
        <x:v>Casablanca</x:v>
      </x:c>
      <x:c r="B66" s="28" t="str">
        <x:v>Casablanca</x:v>
      </x:c>
      <x:c r="C66" s="28" t="str">
        <x:v>Private independent</x:v>
      </x:c>
      <x:c r="D66" s="28" t="str">
        <x:v>Source-document hypothesis</x:v>
      </x:c>
      <x:c r="E66" s="47" t="n">
        <x:v>0.2</x:v>
      </x:c>
      <x:c r="F66" s="47" t="n">
        <x:v>0.2</x:v>
      </x:c>
      <x:c r="G66" s="47" t="n">
        <x:v>0.2</x:v>
      </x:c>
      <x:c r="H66" s="30" t="n">
        <x:v>0.3</x:v>
      </x:c>
      <x:c r="I66" s="48" t="n">
        <x:f>E66*H66</x:f>
        <x:v>0.06</x:v>
      </x:c>
      <x:c r="J66" s="48" t="n">
        <x:f>F66*H66</x:f>
        <x:v>0.06</x:v>
      </x:c>
      <x:c r="K66" s="48" t="n">
        <x:f>G66*H66</x:f>
        <x:v>0.06</x:v>
      </x:c>
      <x:c r="L66" s="28" t="str">
        <x:v>Replaces portion of temporary long-tail basket</x:v>
      </x:c>
      <x:c r="M66" s="28" t="str">
        <x:v>Low-Medium</x:v>
      </x:c>
      <x:c r="N66" s="28" t="str">
        <x:v>User source hypothesis</x:v>
      </x:c>
    </x:row>
    <x:row r="67">
      <x:c r="A67" s="28" t="str">
        <x:v>Marine Serre</x:v>
      </x:c>
      <x:c r="B67" s="28" t="str">
        <x:v>Marine Serre</x:v>
      </x:c>
      <x:c r="C67" s="28" t="str">
        <x:v>Private independent</x:v>
      </x:c>
      <x:c r="D67" s="28" t="str">
        <x:v>Source-document hypothesis</x:v>
      </x:c>
      <x:c r="E67" s="47" t="n">
        <x:v>0.15</x:v>
      </x:c>
      <x:c r="F67" s="47" t="n">
        <x:v>0.15</x:v>
      </x:c>
      <x:c r="G67" s="47" t="n">
        <x:v>0.15</x:v>
      </x:c>
      <x:c r="H67" s="30" t="n">
        <x:v>0.3</x:v>
      </x:c>
      <x:c r="I67" s="48" t="n">
        <x:f>E67*H67</x:f>
        <x:v>0.045</x:v>
      </x:c>
      <x:c r="J67" s="48" t="n">
        <x:f>F67*H67</x:f>
        <x:v>0.045</x:v>
      </x:c>
      <x:c r="K67" s="48" t="n">
        <x:f>G67*H67</x:f>
        <x:v>0.045</x:v>
      </x:c>
      <x:c r="L67" s="28" t="str">
        <x:v>Replaces portion of temporary long-tail basket</x:v>
      </x:c>
      <x:c r="M67" s="28" t="str">
        <x:v>Low-Medium</x:v>
      </x:c>
      <x:c r="N67" s="28" t="str">
        <x:v>User source hypothesis</x:v>
      </x:c>
    </x:row>
    <x:row r="68">
      <x:c r="A68" s="28" t="str">
        <x:v>Coperni</x:v>
      </x:c>
      <x:c r="B68" s="28" t="str">
        <x:v>Coperni</x:v>
      </x:c>
      <x:c r="C68" s="28" t="str">
        <x:v>Private independent</x:v>
      </x:c>
      <x:c r="D68" s="28" t="str">
        <x:v>Source-document hypothesis</x:v>
      </x:c>
      <x:c r="E68" s="47" t="n">
        <x:v>0.15</x:v>
      </x:c>
      <x:c r="F68" s="47" t="n">
        <x:v>0.15</x:v>
      </x:c>
      <x:c r="G68" s="47" t="n">
        <x:v>0.15</x:v>
      </x:c>
      <x:c r="H68" s="30" t="n">
        <x:v>0.3</x:v>
      </x:c>
      <x:c r="I68" s="48" t="n">
        <x:f>E68*H68</x:f>
        <x:v>0.045</x:v>
      </x:c>
      <x:c r="J68" s="48" t="n">
        <x:f>F68*H68</x:f>
        <x:v>0.045</x:v>
      </x:c>
      <x:c r="K68" s="48" t="n">
        <x:f>G68*H68</x:f>
        <x:v>0.045</x:v>
      </x:c>
      <x:c r="L68" s="28" t="str">
        <x:v>Replaces portion of temporary long-tail basket</x:v>
      </x:c>
      <x:c r="M68" s="28" t="str">
        <x:v>Low-Medium</x:v>
      </x:c>
      <x:c r="N68" s="28" t="str">
        <x:v>User source hypothesis</x:v>
      </x:c>
    </x:row>
    <x:row r="69">
      <x:c r="A69" s="28" t="str">
        <x:v>Cavalli</x:v>
      </x:c>
      <x:c r="B69" s="28" t="str">
        <x:v>Cavalli</x:v>
      </x:c>
      <x:c r="C69" s="28" t="str">
        <x:v>Private independent</x:v>
      </x:c>
      <x:c r="D69" s="28" t="str">
        <x:v>Source-document hypothesis</x:v>
      </x:c>
      <x:c r="E69" s="47" t="n">
        <x:v>0.3</x:v>
      </x:c>
      <x:c r="F69" s="47" t="n">
        <x:v>0.3</x:v>
      </x:c>
      <x:c r="G69" s="47" t="n">
        <x:v>0.3</x:v>
      </x:c>
      <x:c r="H69" s="30" t="n">
        <x:v>0.3</x:v>
      </x:c>
      <x:c r="I69" s="48" t="n">
        <x:f>E69*H69</x:f>
        <x:v>0.09</x:v>
      </x:c>
      <x:c r="J69" s="48" t="n">
        <x:f>F69*H69</x:f>
        <x:v>0.09</x:v>
      </x:c>
      <x:c r="K69" s="48" t="n">
        <x:f>G69*H69</x:f>
        <x:v>0.09</x:v>
      </x:c>
      <x:c r="L69" s="28" t="str">
        <x:v>Replaces portion of temporary long-tail basket</x:v>
      </x:c>
      <x:c r="M69" s="28" t="str">
        <x:v>Low-Medium</x:v>
      </x:c>
      <x:c r="N69" s="28" t="str">
        <x:v>User source hypothesis</x:v>
      </x:c>
    </x:row>
    <x:row r="70">
      <x:c r="A70" s="28" t="str">
        <x:v>Qosmedix / Paramount Beauty</x:v>
      </x:c>
      <x:c r="B70" s="28" t="str">
        <x:v>Salon supply</x:v>
      </x:c>
      <x:c r="C70" s="28" t="str">
        <x:v>Private support asset</x:v>
      </x:c>
      <x:c r="D70" s="28" t="str">
        <x:v>Source-document hypothesis</x:v>
      </x:c>
      <x:c r="E70" s="47" t="n">
        <x:v>0.4</x:v>
      </x:c>
      <x:c r="F70" s="47" t="n">
        <x:v>0.4</x:v>
      </x:c>
      <x:c r="G70" s="47" t="n">
        <x:v>0.4</x:v>
      </x:c>
      <x:c r="H70" s="30" t="n">
        <x:v>0.3</x:v>
      </x:c>
      <x:c r="I70" s="48" t="n">
        <x:f>E70*H70</x:f>
        <x:v>0.12</x:v>
      </x:c>
      <x:c r="J70" s="48" t="n">
        <x:f>F70*H70</x:f>
        <x:v>0.12</x:v>
      </x:c>
      <x:c r="K70" s="48" t="n">
        <x:f>G70*H70</x:f>
        <x:v>0.12</x:v>
      </x:c>
      <x:c r="L70" s="28" t="str">
        <x:v>Explicit source row; controlling-stake wording conflicts with $120M investment, so 30% retained pending audit</x:v>
      </x:c>
      <x:c r="M70" s="28" t="str">
        <x:v>Low-Medium</x:v>
      </x:c>
      <x:c r="N70" s="28" t="str">
        <x:v>User source hypothesis</x:v>
      </x:c>
    </x:row>
    <x:row r="71">
      <x:c r="A71" s="28" t="str">
        <x:v>Six Senses Spa Group</x:v>
      </x:c>
      <x:c r="B71" s="28" t="str">
        <x:v>Global destinations</x:v>
      </x:c>
      <x:c r="C71" s="28" t="str">
        <x:v>Hospitality / spa</x:v>
      </x:c>
      <x:c r="D71" s="28" t="str">
        <x:v>Source-document hypothesis</x:v>
      </x:c>
      <x:c r="E71" s="47" t="n">
        <x:v>2</x:v>
      </x:c>
      <x:c r="F71" s="47" t="n">
        <x:v>2</x:v>
      </x:c>
      <x:c r="G71" s="47" t="n">
        <x:v>2</x:v>
      </x:c>
      <x:c r="H71" s="30" t="n">
        <x:v>0.3</x:v>
      </x:c>
      <x:c r="I71" s="48" t="n">
        <x:f>E71*H71</x:f>
        <x:v>0.6</x:v>
      </x:c>
      <x:c r="J71" s="48" t="n">
        <x:f>F71*H71</x:f>
        <x:v>0.6</x:v>
      </x:c>
      <x:c r="K71" s="48" t="n">
        <x:f>G71*H71</x:f>
        <x:v>0.6</x:v>
      </x:c>
      <x:c r="L71" s="28" t="str">
        <x:v>NEW hospitality layer</x:v>
      </x:c>
      <x:c r="M71" s="28" t="str">
        <x:v>Low-Medium</x:v>
      </x:c>
      <x:c r="N71" s="28" t="str">
        <x:v>User source hypothesis</x:v>
      </x:c>
    </x:row>
    <x:row r="72">
      <x:c r="A72" s="28" t="str">
        <x:v>Mandarin Oriental Spa Network</x:v>
      </x:c>
      <x:c r="B72" s="28" t="str">
        <x:v>Spa network</x:v>
      </x:c>
      <x:c r="C72" s="28" t="str">
        <x:v>Hospitality / spa</x:v>
      </x:c>
      <x:c r="D72" s="28" t="str">
        <x:v>Source-document hypothesis</x:v>
      </x:c>
      <x:c r="E72" s="47" t="n">
        <x:v>4</x:v>
      </x:c>
      <x:c r="F72" s="47" t="n">
        <x:v>4</x:v>
      </x:c>
      <x:c r="G72" s="47" t="n">
        <x:v>4</x:v>
      </x:c>
      <x:c r="H72" s="30" t="n">
        <x:v>0.3</x:v>
      </x:c>
      <x:c r="I72" s="48" t="n">
        <x:f>E72*H72</x:f>
        <x:v>1.2</x:v>
      </x:c>
      <x:c r="J72" s="48" t="n">
        <x:f>F72*H72</x:f>
        <x:v>1.2</x:v>
      </x:c>
      <x:c r="K72" s="48" t="n">
        <x:f>G72*H72</x:f>
        <x:v>1.2</x:v>
      </x:c>
      <x:c r="L72" s="28" t="str">
        <x:v>NEW hospitality layer</x:v>
      </x:c>
      <x:c r="M72" s="28" t="str">
        <x:v>Low-Medium</x:v>
      </x:c>
      <x:c r="N72" s="28" t="str">
        <x:v>User source hypothesis</x:v>
      </x:c>
    </x:row>
    <x:row r="73">
      <x:c r="A73" s="28" t="str">
        <x:v>Anantara Spa Portfolio</x:v>
      </x:c>
      <x:c r="B73" s="28" t="str">
        <x:v>Spa portfolio</x:v>
      </x:c>
      <x:c r="C73" s="28" t="str">
        <x:v>Hospitality / spa</x:v>
      </x:c>
      <x:c r="D73" s="28" t="str">
        <x:v>Source-document hypothesis</x:v>
      </x:c>
      <x:c r="E73" s="47" t="n">
        <x:v>1.5</x:v>
      </x:c>
      <x:c r="F73" s="47" t="n">
        <x:v>1.5</x:v>
      </x:c>
      <x:c r="G73" s="47" t="n">
        <x:v>1.5</x:v>
      </x:c>
      <x:c r="H73" s="30" t="n">
        <x:v>0.3</x:v>
      </x:c>
      <x:c r="I73" s="48" t="n">
        <x:f>E73*H73</x:f>
        <x:v>0.44999999999999996</x:v>
      </x:c>
      <x:c r="J73" s="48" t="n">
        <x:f>F73*H73</x:f>
        <x:v>0.44999999999999996</x:v>
      </x:c>
      <x:c r="K73" s="48" t="n">
        <x:f>G73*H73</x:f>
        <x:v>0.44999999999999996</x:v>
      </x:c>
      <x:c r="L73" s="28" t="str">
        <x:v>NEW hospitality layer</x:v>
      </x:c>
      <x:c r="M73" s="28" t="str">
        <x:v>Low-Medium</x:v>
      </x:c>
      <x:c r="N73" s="28" t="str">
        <x:v>User source hypothesis</x:v>
      </x:c>
    </x:row>
    <x:row r="74">
      <x:c r="A74" s="28" t="str">
        <x:v>COMO Shambhala Estate</x:v>
      </x:c>
      <x:c r="B74" s="28" t="str">
        <x:v>Bali wellness estate</x:v>
      </x:c>
      <x:c r="C74" s="28" t="str">
        <x:v>Hospitality / spa</x:v>
      </x:c>
      <x:c r="D74" s="28" t="str">
        <x:v>Source-document hypothesis</x:v>
      </x:c>
      <x:c r="E74" s="47" t="n">
        <x:v>0.5</x:v>
      </x:c>
      <x:c r="F74" s="47" t="n">
        <x:v>0.5</x:v>
      </x:c>
      <x:c r="G74" s="47" t="n">
        <x:v>0.5</x:v>
      </x:c>
      <x:c r="H74" s="30" t="n">
        <x:v>0.3</x:v>
      </x:c>
      <x:c r="I74" s="48" t="n">
        <x:f>E74*H74</x:f>
        <x:v>0.15</x:v>
      </x:c>
      <x:c r="J74" s="48" t="n">
        <x:f>F74*H74</x:f>
        <x:v>0.15</x:v>
      </x:c>
      <x:c r="K74" s="48" t="n">
        <x:f>G74*H74</x:f>
        <x:v>0.15</x:v>
      </x:c>
      <x:c r="L74" s="28" t="str">
        <x:v>NEW hospitality layer</x:v>
      </x:c>
      <x:c r="M74" s="28" t="str">
        <x:v>Low-Medium</x:v>
      </x:c>
      <x:c r="N74" s="28" t="str">
        <x:v>User source hypothesis</x:v>
      </x:c>
    </x:row>
    <x:row r="75">
      <x:c r="A75" s="28" t="str">
        <x:v>SHA Wellness Clinic</x:v>
      </x:c>
      <x:c r="B75" s="28" t="str">
        <x:v>Spain</x:v>
      </x:c>
      <x:c r="C75" s="28" t="str">
        <x:v>Hospitality / spa</x:v>
      </x:c>
      <x:c r="D75" s="28" t="str">
        <x:v>Source-document hypothesis</x:v>
      </x:c>
      <x:c r="E75" s="47" t="n">
        <x:v>0.6</x:v>
      </x:c>
      <x:c r="F75" s="47" t="n">
        <x:v>0.6</x:v>
      </x:c>
      <x:c r="G75" s="47" t="n">
        <x:v>0.6</x:v>
      </x:c>
      <x:c r="H75" s="30" t="n">
        <x:v>0.3</x:v>
      </x:c>
      <x:c r="I75" s="48" t="n">
        <x:f>E75*H75</x:f>
        <x:v>0.18</x:v>
      </x:c>
      <x:c r="J75" s="48" t="n">
        <x:f>F75*H75</x:f>
        <x:v>0.18</x:v>
      </x:c>
      <x:c r="K75" s="48" t="n">
        <x:f>G75*H75</x:f>
        <x:v>0.18</x:v>
      </x:c>
      <x:c r="L75" s="28" t="str">
        <x:v>NEW hospitality layer</x:v>
      </x:c>
      <x:c r="M75" s="28" t="str">
        <x:v>Low-Medium</x:v>
      </x:c>
      <x:c r="N75" s="28" t="str">
        <x:v>User source hypothesis</x:v>
      </x:c>
    </x:row>
    <x:row r="76">
      <x:c r="A76" s="28" t="str">
        <x:v>Canyon Ranch</x:v>
      </x:c>
      <x:c r="B76" s="28" t="str">
        <x:v>Tucson &amp; Las Vegas</x:v>
      </x:c>
      <x:c r="C76" s="28" t="str">
        <x:v>Hospitality / spa</x:v>
      </x:c>
      <x:c r="D76" s="28" t="str">
        <x:v>Source-document hypothesis</x:v>
      </x:c>
      <x:c r="E76" s="47" t="n">
        <x:v>0.8</x:v>
      </x:c>
      <x:c r="F76" s="47" t="n">
        <x:v>0.8</x:v>
      </x:c>
      <x:c r="G76" s="47" t="n">
        <x:v>0.8</x:v>
      </x:c>
      <x:c r="H76" s="30" t="n">
        <x:v>0.3</x:v>
      </x:c>
      <x:c r="I76" s="48" t="n">
        <x:f>E76*H76</x:f>
        <x:v>0.24</x:v>
      </x:c>
      <x:c r="J76" s="48" t="n">
        <x:f>F76*H76</x:f>
        <x:v>0.24</x:v>
      </x:c>
      <x:c r="K76" s="48" t="n">
        <x:f>G76*H76</x:f>
        <x:v>0.24</x:v>
      </x:c>
      <x:c r="L76" s="28" t="str">
        <x:v>NEW hospitality layer</x:v>
      </x:c>
      <x:c r="M76" s="28" t="str">
        <x:v>Low-Medium</x:v>
      </x:c>
      <x:c r="N76" s="28" t="str">
        <x:v>User source hypothesis</x:v>
      </x:c>
    </x:row>
    <x:row r="77">
      <x:c r="A77" s="28" t="str">
        <x:v>Lanserhof Medical Spa</x:v>
      </x:c>
      <x:c r="B77" s="28" t="str">
        <x:v>Germany / Austria</x:v>
      </x:c>
      <x:c r="C77" s="28" t="str">
        <x:v>Hospitality / spa</x:v>
      </x:c>
      <x:c r="D77" s="28" t="str">
        <x:v>Source-document hypothesis</x:v>
      </x:c>
      <x:c r="E77" s="47" t="n">
        <x:v>0.7</x:v>
      </x:c>
      <x:c r="F77" s="47" t="n">
        <x:v>0.7</x:v>
      </x:c>
      <x:c r="G77" s="47" t="n">
        <x:v>0.7</x:v>
      </x:c>
      <x:c r="H77" s="30" t="n">
        <x:v>0.3</x:v>
      </x:c>
      <x:c r="I77" s="48" t="n">
        <x:f>E77*H77</x:f>
        <x:v>0.21</x:v>
      </x:c>
      <x:c r="J77" s="48" t="n">
        <x:f>F77*H77</x:f>
        <x:v>0.21</x:v>
      </x:c>
      <x:c r="K77" s="48" t="n">
        <x:f>G77*H77</x:f>
        <x:v>0.21</x:v>
      </x:c>
      <x:c r="L77" s="28" t="str">
        <x:v>NEW hospitality layer</x:v>
      </x:c>
      <x:c r="M77" s="28" t="str">
        <x:v>Low-Medium</x:v>
      </x:c>
      <x:c r="N77" s="28" t="str">
        <x:v>User source hypothesis</x:v>
      </x:c>
    </x:row>
    <x:row r="78">
      <x:c r="A78" s="28" t="str">
        <x:v>Banyan Tree Spa Sanctuary</x:v>
      </x:c>
      <x:c r="B78" s="28" t="str">
        <x:v>Phuket</x:v>
      </x:c>
      <x:c r="C78" s="28" t="str">
        <x:v>Hospitality / spa</x:v>
      </x:c>
      <x:c r="D78" s="28" t="str">
        <x:v>Source-document hypothesis</x:v>
      </x:c>
      <x:c r="E78" s="47" t="n">
        <x:v>1</x:v>
      </x:c>
      <x:c r="F78" s="47" t="n">
        <x:v>1</x:v>
      </x:c>
      <x:c r="G78" s="47" t="n">
        <x:v>1</x:v>
      </x:c>
      <x:c r="H78" s="30" t="n">
        <x:v>0.3</x:v>
      </x:c>
      <x:c r="I78" s="48" t="n">
        <x:f>E78*H78</x:f>
        <x:v>0.3</x:v>
      </x:c>
      <x:c r="J78" s="48" t="n">
        <x:f>F78*H78</x:f>
        <x:v>0.3</x:v>
      </x:c>
      <x:c r="K78" s="48" t="n">
        <x:f>G78*H78</x:f>
        <x:v>0.3</x:v>
      </x:c>
      <x:c r="L78" s="28" t="str">
        <x:v>NEW hospitality layer</x:v>
      </x:c>
      <x:c r="M78" s="28" t="str">
        <x:v>Low-Medium</x:v>
      </x:c>
      <x:c r="N78" s="28" t="str">
        <x:v>User source hypothesis</x:v>
      </x:c>
    </x:row>
    <x:row r="79">
      <x:c r="A79" s="28" t="str">
        <x:v>Aman Spa Network</x:v>
      </x:c>
      <x:c r="B79" s="28" t="str">
        <x:v>Global resorts</x:v>
      </x:c>
      <x:c r="C79" s="28" t="str">
        <x:v>Hospitality / spa</x:v>
      </x:c>
      <x:c r="D79" s="28" t="str">
        <x:v>Source-document hypothesis</x:v>
      </x:c>
      <x:c r="E79" s="47" t="n">
        <x:v>3</x:v>
      </x:c>
      <x:c r="F79" s="47" t="n">
        <x:v>3</x:v>
      </x:c>
      <x:c r="G79" s="47" t="n">
        <x:v>3</x:v>
      </x:c>
      <x:c r="H79" s="30" t="n">
        <x:v>0.3</x:v>
      </x:c>
      <x:c r="I79" s="48" t="n">
        <x:f>E79*H79</x:f>
        <x:v>0.8999999999999999</x:v>
      </x:c>
      <x:c r="J79" s="48" t="n">
        <x:f>F79*H79</x:f>
        <x:v>0.8999999999999999</x:v>
      </x:c>
      <x:c r="K79" s="48" t="n">
        <x:f>G79*H79</x:f>
        <x:v>0.8999999999999999</x:v>
      </x:c>
      <x:c r="L79" s="28" t="str">
        <x:v>NEW hospitality layer</x:v>
      </x:c>
      <x:c r="M79" s="28" t="str">
        <x:v>Low-Medium</x:v>
      </x:c>
      <x:c r="N79" s="28" t="str">
        <x:v>User source hypothesis</x:v>
      </x:c>
    </x:row>
    <x:row r="80">
      <x:c r="A80" s="28" t="str">
        <x:v>The Peninsula Spa Network</x:v>
      </x:c>
      <x:c r="B80" s="28" t="str">
        <x:v>Spa network</x:v>
      </x:c>
      <x:c r="C80" s="28" t="str">
        <x:v>Hospitality / spa</x:v>
      </x:c>
      <x:c r="D80" s="28" t="str">
        <x:v>Source-document hypothesis</x:v>
      </x:c>
      <x:c r="E80" s="47" t="n">
        <x:v>2.5</x:v>
      </x:c>
      <x:c r="F80" s="47" t="n">
        <x:v>2.5</x:v>
      </x:c>
      <x:c r="G80" s="47" t="n">
        <x:v>2.5</x:v>
      </x:c>
      <x:c r="H80" s="30" t="n">
        <x:v>0.3</x:v>
      </x:c>
      <x:c r="I80" s="48" t="n">
        <x:f>E80*H80</x:f>
        <x:v>0.75</x:v>
      </x:c>
      <x:c r="J80" s="48" t="n">
        <x:f>F80*H80</x:f>
        <x:v>0.75</x:v>
      </x:c>
      <x:c r="K80" s="48" t="n">
        <x:f>G80*H80</x:f>
        <x:v>0.75</x:v>
      </x:c>
      <x:c r="L80" s="28" t="str">
        <x:v>NEW hospitality layer</x:v>
      </x:c>
      <x:c r="M80" s="28" t="str">
        <x:v>Low-Medium</x:v>
      </x:c>
      <x:c r="N80" s="28" t="str">
        <x:v>User source hypothesis</x:v>
      </x:c>
    </x:row>
    <x:row r="81">
      <x:c r="A81" s="28" t="str">
        <x:v>Raffles Spa Network</x:v>
      </x:c>
      <x:c r="B81" s="28" t="str">
        <x:v>Spa network</x:v>
      </x:c>
      <x:c r="C81" s="28" t="str">
        <x:v>Hospitality / spa</x:v>
      </x:c>
      <x:c r="D81" s="28" t="str">
        <x:v>Source-document hypothesis</x:v>
      </x:c>
      <x:c r="E81" s="47" t="n">
        <x:v>2</x:v>
      </x:c>
      <x:c r="F81" s="47" t="n">
        <x:v>2</x:v>
      </x:c>
      <x:c r="G81" s="47" t="n">
        <x:v>2</x:v>
      </x:c>
      <x:c r="H81" s="30" t="n">
        <x:v>0.3</x:v>
      </x:c>
      <x:c r="I81" s="48" t="n">
        <x:f>E81*H81</x:f>
        <x:v>0.6</x:v>
      </x:c>
      <x:c r="J81" s="48" t="n">
        <x:f>F81*H81</x:f>
        <x:v>0.6</x:v>
      </x:c>
      <x:c r="K81" s="48" t="n">
        <x:f>G81*H81</x:f>
        <x:v>0.6</x:v>
      </x:c>
      <x:c r="L81" s="28" t="str">
        <x:v>NEW hospitality layer</x:v>
      </x:c>
      <x:c r="M81" s="28" t="str">
        <x:v>Low-Medium</x:v>
      </x:c>
      <x:c r="N81" s="28" t="str">
        <x:v>User source hypothesis</x:v>
      </x:c>
    </x:row>
    <x:row r="82">
      <x:c r="A82" s="28" t="str">
        <x:v>One&amp;Only Spa Network</x:v>
      </x:c>
      <x:c r="B82" s="28" t="str">
        <x:v>Spa network</x:v>
      </x:c>
      <x:c r="C82" s="28" t="str">
        <x:v>Hospitality / spa</x:v>
      </x:c>
      <x:c r="D82" s="28" t="str">
        <x:v>Source-document hypothesis</x:v>
      </x:c>
      <x:c r="E82" s="47" t="n">
        <x:v>2.5</x:v>
      </x:c>
      <x:c r="F82" s="47" t="n">
        <x:v>2.5</x:v>
      </x:c>
      <x:c r="G82" s="47" t="n">
        <x:v>2.5</x:v>
      </x:c>
      <x:c r="H82" s="30" t="n">
        <x:v>0.3</x:v>
      </x:c>
      <x:c r="I82" s="48" t="n">
        <x:f>E82*H82</x:f>
        <x:v>0.75</x:v>
      </x:c>
      <x:c r="J82" s="48" t="n">
        <x:f>F82*H82</x:f>
        <x:v>0.75</x:v>
      </x:c>
      <x:c r="K82" s="48" t="n">
        <x:f>G82*H82</x:f>
        <x:v>0.75</x:v>
      </x:c>
      <x:c r="L82" s="28" t="str">
        <x:v>NEW hospitality layer</x:v>
      </x:c>
      <x:c r="M82" s="28" t="str">
        <x:v>Low-Medium</x:v>
      </x:c>
      <x:c r="N82" s="28" t="str">
        <x:v>User source hypothesis</x:v>
      </x:c>
    </x:row>
    <x:row r="83">
      <x:c r="A83" s="28" t="str">
        <x:v>Rosewood Sense Spa Network</x:v>
      </x:c>
      <x:c r="B83" s="28" t="str">
        <x:v>Spa network</x:v>
      </x:c>
      <x:c r="C83" s="28" t="str">
        <x:v>Hospitality / spa</x:v>
      </x:c>
      <x:c r="D83" s="28" t="str">
        <x:v>Source-document hypothesis</x:v>
      </x:c>
      <x:c r="E83" s="47" t="n">
        <x:v>2</x:v>
      </x:c>
      <x:c r="F83" s="47" t="n">
        <x:v>2</x:v>
      </x:c>
      <x:c r="G83" s="47" t="n">
        <x:v>2</x:v>
      </x:c>
      <x:c r="H83" s="30" t="n">
        <x:v>0.3</x:v>
      </x:c>
      <x:c r="I83" s="48" t="n">
        <x:f>E83*H83</x:f>
        <x:v>0.6</x:v>
      </x:c>
      <x:c r="J83" s="48" t="n">
        <x:f>F83*H83</x:f>
        <x:v>0.6</x:v>
      </x:c>
      <x:c r="K83" s="48" t="n">
        <x:f>G83*H83</x:f>
        <x:v>0.6</x:v>
      </x:c>
      <x:c r="L83" s="28" t="str">
        <x:v>NEW hospitality layer</x:v>
      </x:c>
      <x:c r="M83" s="28" t="str">
        <x:v>Low-Medium</x:v>
      </x:c>
      <x:c r="N83" s="28" t="str">
        <x:v>User source hypothesis</x:v>
      </x:c>
    </x:row>
    <x:row r="84">
      <x:c r="A84" s="28" t="str">
        <x:v>Miraval Resorts &amp; Spas</x:v>
      </x:c>
      <x:c r="B84" s="28" t="str">
        <x:v>Resorts &amp; spas</x:v>
      </x:c>
      <x:c r="C84" s="28" t="str">
        <x:v>Hospitality / spa</x:v>
      </x:c>
      <x:c r="D84" s="28" t="str">
        <x:v>Source-document hypothesis</x:v>
      </x:c>
      <x:c r="E84" s="47" t="n">
        <x:v>0.6</x:v>
      </x:c>
      <x:c r="F84" s="47" t="n">
        <x:v>0.6</x:v>
      </x:c>
      <x:c r="G84" s="47" t="n">
        <x:v>0.6</x:v>
      </x:c>
      <x:c r="H84" s="30" t="n">
        <x:v>0.3</x:v>
      </x:c>
      <x:c r="I84" s="48" t="n">
        <x:f>E84*H84</x:f>
        <x:v>0.18</x:v>
      </x:c>
      <x:c r="J84" s="48" t="n">
        <x:f>F84*H84</x:f>
        <x:v>0.18</x:v>
      </x:c>
      <x:c r="K84" s="48" t="n">
        <x:f>G84*H84</x:f>
        <x:v>0.18</x:v>
      </x:c>
      <x:c r="L84" s="28" t="str">
        <x:v>NEW hospitality layer</x:v>
      </x:c>
      <x:c r="M84" s="28" t="str">
        <x:v>Low-Medium</x:v>
      </x:c>
      <x:c r="N84" s="28" t="str">
        <x:v>User source hypothesis</x:v>
      </x:c>
    </x:row>
    <x:row r="85">
      <x:c r="A85" s="28" t="str">
        <x:v>Chiva-Som</x:v>
      </x:c>
      <x:c r="B85" s="28" t="str">
        <x:v>Thailand</x:v>
      </x:c>
      <x:c r="C85" s="28" t="str">
        <x:v>Hospitality / spa</x:v>
      </x:c>
      <x:c r="D85" s="28" t="str">
        <x:v>Source-document hypothesis</x:v>
      </x:c>
      <x:c r="E85" s="47" t="n">
        <x:v>0.4</x:v>
      </x:c>
      <x:c r="F85" s="47" t="n">
        <x:v>0.4</x:v>
      </x:c>
      <x:c r="G85" s="47" t="n">
        <x:v>0.4</x:v>
      </x:c>
      <x:c r="H85" s="30" t="n">
        <x:v>0.3</x:v>
      </x:c>
      <x:c r="I85" s="48" t="n">
        <x:f>E85*H85</x:f>
        <x:v>0.12</x:v>
      </x:c>
      <x:c r="J85" s="48" t="n">
        <x:f>F85*H85</x:f>
        <x:v>0.12</x:v>
      </x:c>
      <x:c r="K85" s="48" t="n">
        <x:f>G85*H85</x:f>
        <x:v>0.12</x:v>
      </x:c>
      <x:c r="L85" s="28" t="str">
        <x:v>NEW hospitality layer</x:v>
      </x:c>
      <x:c r="M85" s="28" t="str">
        <x:v>Low-Medium</x:v>
      </x:c>
      <x:c r="N85" s="28" t="str">
        <x:v>User source hypothesis</x:v>
      </x:c>
    </x:row>
    <x:row r="86">
      <x:c r="A86" s="28" t="str">
        <x:v>Kohler Waters Spa</x:v>
      </x:c>
      <x:c r="B86" s="28" t="str">
        <x:v>Spa</x:v>
      </x:c>
      <x:c r="C86" s="28" t="str">
        <x:v>Hospitality / spa</x:v>
      </x:c>
      <x:c r="D86" s="28" t="str">
        <x:v>Source-document hypothesis</x:v>
      </x:c>
      <x:c r="E86" s="47" t="n">
        <x:v>0.3</x:v>
      </x:c>
      <x:c r="F86" s="47" t="n">
        <x:v>0.3</x:v>
      </x:c>
      <x:c r="G86" s="47" t="n">
        <x:v>0.3</x:v>
      </x:c>
      <x:c r="H86" s="30" t="n">
        <x:v>0.3</x:v>
      </x:c>
      <x:c r="I86" s="48" t="n">
        <x:f>E86*H86</x:f>
        <x:v>0.09</x:v>
      </x:c>
      <x:c r="J86" s="48" t="n">
        <x:f>F86*H86</x:f>
        <x:v>0.09</x:v>
      </x:c>
      <x:c r="K86" s="48" t="n">
        <x:f>G86*H86</x:f>
        <x:v>0.09</x:v>
      </x:c>
      <x:c r="L86" s="28" t="str">
        <x:v>NEW hospitality layer</x:v>
      </x:c>
      <x:c r="M86" s="28" t="str">
        <x:v>Low-Medium</x:v>
      </x:c>
      <x:c r="N86" s="28" t="str">
        <x:v>User source hypothesis</x:v>
      </x:c>
    </x:row>
    <x:row r="87">
      <x:c r="A87" s="28" t="str">
        <x:v>Bleckmann Global Logistics</x:v>
      </x:c>
      <x:c r="B87" s="28" t="str">
        <x:v>Fulfillment</x:v>
      </x:c>
      <x:c r="C87" s="28" t="str">
        <x:v>Private infrastructure</x:v>
      </x:c>
      <x:c r="D87" s="28" t="str">
        <x:v>Source-document asset-base hypothesis</x:v>
      </x:c>
      <x:c r="E87" s="47" t="n">
        <x:v>2</x:v>
      </x:c>
      <x:c r="F87" s="47" t="n">
        <x:v>2</x:v>
      </x:c>
      <x:c r="G87" s="47" t="n">
        <x:v>2</x:v>
      </x:c>
      <x:c r="H87" s="30" t="n">
        <x:v>1</x:v>
      </x:c>
      <x:c r="I87" s="48" t="n">
        <x:f>E87*H87</x:f>
        <x:v>2</x:v>
      </x:c>
      <x:c r="J87" s="48" t="n">
        <x:f>F87*H87</x:f>
        <x:v>2</x:v>
      </x:c>
      <x:c r="K87" s="48" t="n">
        <x:f>G87*H87</x:f>
        <x:v>2</x:v>
      </x:c>
      <x:c r="L87" s="28" t="str">
        <x:v>100% outright acquisition in source</x:v>
      </x:c>
      <x:c r="M87" s="28" t="str">
        <x:v>Medium</x:v>
      </x:c>
      <x:c r="N87" s="28" t="str">
        <x:v>User source hypothesis</x:v>
      </x:c>
    </x:row>
    <x:row r="88">
      <x:c r="A88" s="28" t="str">
        <x:v>Crown Logistics</x:v>
      </x:c>
      <x:c r="B88" s="28" t="str">
        <x:v>Secure freight</x:v>
      </x:c>
      <x:c r="C88" s="28" t="str">
        <x:v>Private infrastructure</x:v>
      </x:c>
      <x:c r="D88" s="28" t="str">
        <x:v>Source-document asset-base hypothesis</x:v>
      </x:c>
      <x:c r="E88" s="47" t="n">
        <x:v>1</x:v>
      </x:c>
      <x:c r="F88" s="47" t="n">
        <x:v>1</x:v>
      </x:c>
      <x:c r="G88" s="47" t="n">
        <x:v>1</x:v>
      </x:c>
      <x:c r="H88" s="30" t="n">
        <x:v>1</x:v>
      </x:c>
      <x:c r="I88" s="48" t="n">
        <x:f>E88*H88</x:f>
        <x:v>1</x:v>
      </x:c>
      <x:c r="J88" s="48" t="n">
        <x:f>F88*H88</x:f>
        <x:v>1</x:v>
      </x:c>
      <x:c r="K88" s="48" t="n">
        <x:f>G88*H88</x:f>
        <x:v>1</x:v>
      </x:c>
      <x:c r="L88" s="28" t="str">
        <x:v>100% outright acquisition in source</x:v>
      </x:c>
      <x:c r="M88" s="28" t="str">
        <x:v>Medium</x:v>
      </x:c>
      <x:c r="N88" s="28" t="str">
        <x:v>User source hypothesis</x:v>
      </x:c>
    </x:row>
    <x:row r="89">
      <x:c r="A89" s="28" t="str">
        <x:v>Como Silk Textile Weaving Cooperatives</x:v>
      </x:c>
      <x:c r="B89" s="28" t="str">
        <x:v>Textile infrastructure</x:v>
      </x:c>
      <x:c r="C89" s="28" t="str">
        <x:v>Private infrastructure</x:v>
      </x:c>
      <x:c r="D89" s="28" t="str">
        <x:v>Source-document asset-base hypothesis</x:v>
      </x:c>
      <x:c r="E89" s="47" t="n">
        <x:v>0.5</x:v>
      </x:c>
      <x:c r="F89" s="47" t="n">
        <x:v>0.5</x:v>
      </x:c>
      <x:c r="G89" s="47" t="n">
        <x:v>0.5</x:v>
      </x:c>
      <x:c r="H89" s="30" t="n">
        <x:v>1</x:v>
      </x:c>
      <x:c r="I89" s="48" t="n">
        <x:f>E89*H89</x:f>
        <x:v>0.5</x:v>
      </x:c>
      <x:c r="J89" s="48" t="n">
        <x:f>F89*H89</x:f>
        <x:v>0.5</x:v>
      </x:c>
      <x:c r="K89" s="48" t="n">
        <x:f>G89*H89</x:f>
        <x:v>0.5</x:v>
      </x:c>
      <x:c r="L89" s="28" t="str">
        <x:v>100% outright acquisition in source</x:v>
      </x:c>
      <x:c r="M89" s="28" t="str">
        <x:v>Medium</x:v>
      </x:c>
      <x:c r="N89" s="28" t="str">
        <x:v>User source hypothesis</x:v>
      </x:c>
    </x:row>
    <x:row r="90">
      <x:c r="A90" t="str">
        <x:v>Manicured Fingers acquisition program</x:v>
      </x:c>
      <x:c r="B90" t="str">
        <x:v>37 lingerie/innerwear/beauty targets; see dedicated sheet</x:v>
      </x:c>
      <x:c r="C90" t="str">
        <x:v>Acquisition program</x:v>
      </x:c>
      <x:c r="D90" t="str">
        <x:v>Midpoint current/hypothesis values</x:v>
      </x:c>
      <x:c r="E90" s="56" t="n">
        <x:f>'Manicured Fingers'!B45</x:f>
        <x:v>94.24389999999998</x:v>
      </x:c>
      <x:c r="F90" s="56" t="n">
        <x:f>'Manicured Fingers'!B45</x:f>
        <x:v>94.24389999999998</x:v>
      </x:c>
      <x:c r="G90" s="56" t="n">
        <x:f>'Manicured Fingers'!B45</x:f>
        <x:v>94.24389999999998</x:v>
      </x:c>
      <x:c r="H90" s="56" t="n">
        <x:v>1</x:v>
      </x:c>
      <x:c r="I90" s="56" t="n">
        <x:f>E90</x:f>
        <x:v>94.24389999999998</x:v>
      </x:c>
      <x:c r="J90" s="56" t="n">
        <x:f>F90</x:f>
        <x:v>94.24389999999998</x:v>
      </x:c>
      <x:c r="K90" s="56" t="n">
        <x:f>G90</x:f>
        <x:v>94.24389999999998</x:v>
      </x:c>
      <x:c r="L90" t="str">
        <x:v>CANON OWNERSHIP: all 37 Manicured Fingers stakes accepted. Valuation/revenue inputs remain working survey estimates where noted.</x:v>
      </x:c>
      <x:c r="M90" t="str">
        <x:v>Mixed</x:v>
      </x:c>
      <x:c r="N90" t="str">
        <x:v>See Manicured Fingers source column</x:v>
      </x:c>
    </x:row>
    <x:row r="91">
      <x:c r="A91" t="str">
        <x:v>Hats, Bags &amp; Shiny Things</x:v>
      </x:c>
      <x:c r="B91" t="str">
        <x:v>40 retroactive canon accessory/jewelry targets; see dedicated sheet</x:v>
      </x:c>
      <x:c r="C91" t="str">
        <x:v>Retroactive acquisition program</x:v>
      </x:c>
      <x:c r="D91" t="str">
        <x:v>Midpoint current/hypothesis values</x:v>
      </x:c>
      <x:c r="E91" s="56" t="n">
        <x:f>'Hats Bags Shiny Things'!B48</x:f>
        <x:v>25.41509999999999</x:v>
      </x:c>
      <x:c r="F91" s="56" t="n">
        <x:f>'Hats Bags Shiny Things'!B48</x:f>
        <x:v>25.41509999999999</x:v>
      </x:c>
      <x:c r="G91" s="56" t="n">
        <x:f>'Hats Bags Shiny Things'!B48</x:f>
        <x:v>25.41509999999999</x:v>
      </x:c>
      <x:c r="H91" s="56" t="n">
        <x:v>1</x:v>
      </x:c>
      <x:c r="I91" s="56" t="n">
        <x:f>E91</x:f>
        <x:v>25.41509999999999</x:v>
      </x:c>
      <x:c r="J91" s="56" t="n">
        <x:f>F91</x:f>
        <x:v>25.41509999999999</x:v>
      </x:c>
      <x:c r="K91" s="56" t="n">
        <x:f>G91</x:f>
        <x:v>25.41509999999999</x:v>
      </x:c>
      <x:c r="L91" t="str">
        <x:v>CANON OWNERSHIP: executed pre-reveal; excludes already-counted parent holdings</x:v>
      </x:c>
      <x:c r="M91" t="str">
        <x:v>Mixed</x:v>
      </x:c>
      <x:c r="N91" t="str">
        <x:v>See Hats Bags Shiny Things source column</x:v>
      </x:c>
    </x:row>
    <x:row r="92">
      <x:c r="A92" t="str">
        <x:v>Shoes, Athleisure &amp; Resort</x:v>
      </x:c>
      <x:c r="B92" t="str">
        <x:v>30 retroactive canon targets; see dedicated sheet</x:v>
      </x:c>
      <x:c r="C92" t="str">
        <x:v>Retroactive acquisition program</x:v>
      </x:c>
      <x:c r="D92" t="str">
        <x:v>Public current + private hypotheses</x:v>
      </x:c>
      <x:c r="E92" s="56" t="n">
        <x:f>'Shoes Athleisure Resort'!B38</x:f>
        <x:v>22.1006</x:v>
      </x:c>
      <x:c r="F92" s="56" t="n">
        <x:f>'Shoes Athleisure Resort'!B38</x:f>
        <x:v>22.1006</x:v>
      </x:c>
      <x:c r="G92" s="56" t="n">
        <x:f>'Shoes Athleisure Resort'!B38</x:f>
        <x:v>22.1006</x:v>
      </x:c>
      <x:c r="H92" s="56" t="n">
        <x:v>1</x:v>
      </x:c>
      <x:c r="I92" s="56" t="n">
        <x:f>E92</x:f>
        <x:v>22.1006</x:v>
      </x:c>
      <x:c r="J92" s="56" t="n">
        <x:f>F92</x:f>
        <x:v>22.1006</x:v>
      </x:c>
      <x:c r="K92" s="56" t="n">
        <x:f>G92</x:f>
        <x:v>22.1006</x:v>
      </x:c>
      <x:c r="L92" t="str">
        <x:v>CANON OWNERSHIP: executed pre-reveal; parent overlaps excluded or flagged</x:v>
      </x:c>
      <x:c r="M92" t="str">
        <x:v>Mixed</x:v>
      </x:c>
      <x:c r="N92" t="str">
        <x:v>See Shoes Athleisure Resort source column</x:v>
      </x:c>
    </x:row>
  </x:sheetData>
  <x:conditionalFormatting sqref="M2:M39">
    <x:cfRule type="expression" dxfId="0" priority="1">
      <x:formula>LEFT(M2,3)="Low"</x:formula>
    </x:cfRule>
    <x:cfRule type="expression" dxfId="1" priority="2">
      <x:formula>M2="High"</x:formula>
    </x:cfRule>
  </x:conditionalFormatting>
  <x:pageMargins left="0.7" right="0.7" top="0.75" bottom="0.75" header="0.3" footer="0.3"/>
  <x:tableParts count="1">
    <x:tablePart xmlns:r="http://schemas.openxmlformats.org/officeDocument/2006/relationships" r:id="R928e48cac03a4c2b"/>
  </x:tableParts>
</x:worksheet>
</file>

<file path=xl/worksheets/sheet2.xml><?xml version="1.0" encoding="utf-8"?>
<x:worksheet xmlns:x="http://schemas.openxmlformats.org/spreadsheetml/2006/main">
  <x:sheetFormatPr defaultRowHeight="15"/>
  <x:cols>
    <x:col min="1" max="1" width="34" hidden="0" customWidth="1"/>
    <x:col min="2" max="2" width="18" hidden="0" customWidth="1"/>
    <x:col min="3" max="3" width="22" hidden="0" customWidth="1"/>
    <x:col min="4" max="4" width="60" hidden="0" customWidth="1"/>
  </x:cols>
  <x:sheetData>
    <x:row r="1">
      <x:c r="A1" s="6" t="str">
        <x:v>Assumption</x:v>
      </x:c>
      <x:c r="B1" s="6" t="str">
        <x:v>Value</x:v>
      </x:c>
      <x:c r="C1" s="6" t="str">
        <x:v>Status</x:v>
      </x:c>
      <x:c r="D1" s="6" t="str">
        <x:v>Notes</x:v>
      </x:c>
    </x:row>
    <x:row r="2">
      <x:c r="A2" s="28" t="str">
        <x:v>Majority/control stake</x:v>
      </x:c>
      <x:c r="B2" s="28" t="n">
        <x:v>0.51</x:v>
      </x:c>
      <x:c r="C2" s="28" t="str">
        <x:v>From Jim source map</x:v>
      </x:c>
      <x:c r="D2" s="28" t="str">
        <x:v>Used for majority/control positions</x:v>
      </x:c>
    </x:row>
    <x:row r="3">
      <x:c r="A3" s="28" t="str">
        <x:v>Strong minority midpoint</x:v>
      </x:c>
      <x:c r="B3" s="28" t="n">
        <x:v>0.3</x:v>
      </x:c>
      <x:c r="C3" s="28" t="str">
        <x:v>Model assumption</x:v>
      </x:c>
      <x:c r="D3" s="28" t="str">
        <x:v>Midpoint of source-map 25%-35% range</x:v>
      </x:c>
    </x:row>
    <x:row r="4">
      <x:c r="A4" s="28" t="str">
        <x:v>Infrastructure working stake</x:v>
      </x:c>
      <x:c r="B4" s="28" t="n">
        <x:v>0.75</x:v>
      </x:c>
      <x:c r="C4" s="28" t="str">
        <x:v>Model assumption</x:v>
      </x:c>
      <x:c r="D4" s="28" t="str">
        <x:v>Used where source says 100% or absolute-majority but exact stake unresolved</x:v>
      </x:c>
    </x:row>
    <x:row r="5">
      <x:c r="A5" s="28" t="str">
        <x:v>Athena diversification portfolio ($B)</x:v>
      </x:c>
      <x:c r="B5" s="28" t="n">
        <x:v>400</x:v>
      </x:c>
      <x:c r="C5" s="28" t="str">
        <x:v>Canon in development</x:v>
      </x:c>
      <x:c r="D5" s="28" t="str">
        <x:v>Separate from Fashion Empire</x:v>
      </x:c>
    </x:row>
    <x:row r="6">
      <x:c r="A6" s="28" t="str">
        <x:v>Valuation date</x:v>
      </x:c>
      <x:c r="B6" s="28" t="str">
        <x:v>2026-09-10</x:v>
      </x:c>
      <x:c r="C6" s="28" t="str">
        <x:v>Current survey</x:v>
      </x:c>
      <x:c r="D6" s="28" t="str">
        <x:v>Public market values move</x:v>
      </x:c>
    </x:row>
    <x:row r="7">
      <x:c r="A7" s="28" t="str">
        <x:v>Currency</x:v>
      </x:c>
      <x:c r="B7" s="28" t="str">
        <x:v>USD billions</x:v>
      </x:c>
      <x:c r="C7" s="28" t="str">
        <x:v>Model convention</x:v>
      </x:c>
      <x:c r="D7" s="28" t="str">
        <x:v>Private foreign transaction anchors bracketed</x:v>
      </x:c>
    </x:row>
    <x:row r="8">
      <x:c r="A8" s="28" t="str">
        <x:v>Private low/mid/high</x:v>
      </x:c>
      <x:c r="B8" s="28" t="str">
        <x:v>Scenario range</x:v>
      </x:c>
      <x:c r="C8" s="28" t="str">
        <x:v>Hypothesis</x:v>
      </x:c>
      <x:c r="D8" s="28" t="str">
        <x:v>Not factual market caps</x:v>
      </x:c>
    </x:row>
    <x:row r="9">
      <x:c r="A9" s="28" t="str">
        <x:v>Top-100 source</x:v>
      </x:c>
      <x:c r="B9" s="28" t="str">
        <x:v>the fashion empire.docx</x:v>
      </x:c>
      <x:c r="C9" s="28" t="str">
        <x:v>Historical recovery source</x:v>
      </x:c>
      <x:c r="D9" s="28" t="str">
        <x:v>Roster + target ownership logic</x:v>
      </x:c>
    </x:row>
    <x:row r="10">
      <x:c r="A10" s="28" t="str">
        <x:v>Double-counting rule</x:v>
      </x:c>
      <x:c r="B10" s="28" t="str">
        <x:v>Parent once</x:v>
      </x:c>
      <x:c r="C10" s="28" t="str">
        <x:v>Hard model rule</x:v>
      </x:c>
      <x:c r="D10" s="28" t="str">
        <x:v>No child brands on top of valued parent</x:v>
      </x:c>
    </x:row>
  </x:sheetData>
  <x:pageMargins left="0.7" right="0.7" top="0.75" bottom="0.75" header="0.3" footer="0.3"/>
  <x:tableParts count="1">
    <x:tablePart xmlns:r="http://schemas.openxmlformats.org/officeDocument/2006/relationships" r:id="R1a199a5a597142f2"/>
  </x:tableParts>
</x:worksheet>
</file>

<file path=xl/worksheets/sheet3.xml><?xml version="1.0" encoding="utf-8"?>
<x:worksheet xmlns:x="http://schemas.openxmlformats.org/spreadsheetml/2006/main">
  <x:sheetFormatPr defaultRowHeight="15"/>
  <x:cols>
    <x:col min="1" max="1" width="38" hidden="0" customWidth="1"/>
    <x:col min="2" max="2" width="22" hidden="0" customWidth="1"/>
    <x:col min="3" max="3" width="18" hidden="0" customWidth="1"/>
    <x:col min="4" max="4" width="18" hidden="0" customWidth="1"/>
    <x:col min="5" max="5" width="18" hidden="0" customWidth="1"/>
    <x:col min="6" max="6" width="18" hidden="0" customWidth="1"/>
  </x:cols>
  <x:sheetData>
    <x:row r="1">
      <x:c r="A1" s="36" t="str">
        <x:v>FASHION EMPIRE VALUATION - WORKING SURVEY</x:v>
      </x:c>
      <x:c r="B1" s="36" t="str"/>
      <x:c r="C1" s="36" t="str"/>
      <x:c r="D1" s="36" t="str"/>
      <x:c r="E1" s="36" t="str"/>
      <x:c r="F1" s="36" t="str"/>
    </x:row>
    <x:row r="2">
      <x:c r="A2" s="28"/>
      <x:c r="B2" s="28"/>
      <x:c r="C2" s="28"/>
      <x:c r="D2" s="28"/>
      <x:c r="E2" s="28"/>
      <x:c r="F2" s="28"/>
    </x:row>
    <x:row r="3">
      <x:c r="A3" s="4" t="str">
        <x:v>Metric</x:v>
      </x:c>
      <x:c r="B3" s="4" t="str">
        <x:v>$B</x:v>
      </x:c>
      <x:c r="C3" s="28"/>
      <x:c r="D3" s="4" t="str">
        <x:v>Scenario</x:v>
      </x:c>
      <x:c r="E3" s="4" t="str">
        <x:v>Attributable value ($B)</x:v>
      </x:c>
      <x:c r="F3" s="28"/>
    </x:row>
    <x:row r="4">
      <x:c r="A4" s="28" t="str">
        <x:v>Low gross attributable value</x:v>
      </x:c>
      <x:c r="B4" s="37" t="n">
        <x:f>SUM('Valuation Grid'!I2:I92)</x:f>
        <x:v>503.17939999999965</x:v>
      </x:c>
      <x:c r="C4" s="28"/>
      <x:c r="D4" s="28" t="str">
        <x:v>Low</x:v>
      </x:c>
      <x:c r="E4" s="28" t="n">
        <x:f>B4</x:f>
        <x:v>503.17939999999965</x:v>
      </x:c>
      <x:c r="F4" s="28"/>
    </x:row>
    <x:row r="5">
      <x:c r="A5" s="28" t="str">
        <x:v>Mid gross attributable value</x:v>
      </x:c>
      <x:c r="B5" s="37" t="n">
        <x:f>SUM('Valuation Grid'!J2:J92)</x:f>
        <x:v>514.2343999999998</x:v>
      </x:c>
      <x:c r="C5" s="28"/>
      <x:c r="D5" s="28" t="str">
        <x:v>Mid</x:v>
      </x:c>
      <x:c r="E5" s="28" t="n">
        <x:f>B5</x:f>
        <x:v>514.2343999999998</x:v>
      </x:c>
      <x:c r="F5" s="28"/>
    </x:row>
    <x:row r="6">
      <x:c r="A6" s="28" t="str">
        <x:v>High gross attributable value</x:v>
      </x:c>
      <x:c r="B6" s="37" t="n">
        <x:f>SUM('Valuation Grid'!K2:K92)</x:f>
        <x:v>529.4143999999997</x:v>
      </x:c>
      <x:c r="C6" s="28"/>
      <x:c r="D6" s="28" t="str">
        <x:v>High</x:v>
      </x:c>
      <x:c r="E6" s="28" t="n">
        <x:f>B6</x:f>
        <x:v>529.4143999999997</x:v>
      </x:c>
      <x:c r="F6" s="28"/>
    </x:row>
    <x:row r="7">
      <x:c r="A7" s="28" t="str">
        <x:v>Athena Hat Fund remaining after all accepted acquisitions</x:v>
      </x:c>
      <x:c r="B7" s="38" t="n">
        <x:f>'Shoes Athleisure Resort'!B40</x:f>
        <x:v>258.2404</x:v>
      </x:c>
      <x:c r="C7" s="28"/>
      <x:c r="D7" s="28"/>
      <x:c r="E7" s="28"/>
      <x:c r="F7" s="28"/>
    </x:row>
    <x:row r="8">
      <x:c r="A8" s="28" t="str">
        <x:v>Mid combined: Fashion Empire + remaining Hat Fund</x:v>
      </x:c>
      <x:c r="B8" s="38" t="n">
        <x:f>B5+B7</x:f>
        <x:v>772.4747999999998</x:v>
      </x:c>
      <x:c r="C8" s="28"/>
      <x:c r="D8" s="28"/>
      <x:c r="E8" s="28"/>
      <x:c r="F8" s="28"/>
    </x:row>
    <x:row r="9">
      <x:c r="A9" s="28" t="str">
        <x:v>Modeled entity/group stakes — final current grid</x:v>
      </x:c>
      <x:c r="B9" s="38" t="n">
        <x:f>'Shoes Athleisure Resort'!B44</x:f>
        <x:v>190</x:v>
      </x:c>
      <x:c r="C9" s="28"/>
      <x:c r="D9" s="28"/>
      <x:c r="E9" s="28"/>
      <x:c r="F9" s="28"/>
    </x:row>
    <x:row r="10">
      <x:c r="A10" s="28" t="str">
        <x:v>Daily attributable revenue: three recovered pots ($M)</x:v>
      </x:c>
      <x:c r="B10" s="28" t="n">
        <x:f>'Manicured Fingers'!B49+'Hats Bags Shiny Things'!B52+'Shoes Athleisure Resort'!B42</x:f>
        <x:v>148.57191780821918</x:v>
      </x:c>
      <x:c r="C10" s="28"/>
      <x:c r="D10" s="28"/>
      <x:c r="E10" s="28"/>
      <x:c r="F10" s="28"/>
    </x:row>
    <x:row r="11">
      <x:c r="A11" s="4" t="str">
        <x:v>IMPORTANT AUDIT NOTES</x:v>
      </x:c>
      <x:c r="B11" s="4" t="str"/>
      <x:c r="C11" s="4" t="str"/>
      <x:c r="D11" s="4" t="str"/>
      <x:c r="E11" s="4" t="str"/>
      <x:c r="F11" s="4" t="str"/>
    </x:row>
    <x:row r="12">
      <x:c r="A12" s="61" t="str">
        <x:v>CANON OWNERSHIP UPDATE — MANICURED FINGERS</x:v>
      </x:c>
      <x:c r="B12" s="61" t="str">
        <x:v>Survey grid, not canon lock. Public rows are current data; private rows are explicit hypotheses.</x:v>
      </x:c>
      <x:c r="C12" s="61" t="str"/>
      <x:c r="D12" s="61" t="str"/>
      <x:c r="E12" s="61" t="str"/>
      <x:c r="F12" s="61" t="str"/>
    </x:row>
    <x:row r="13">
      <x:c r="A13" s="28" t="str">
        <x:v>9</x:v>
      </x:c>
      <x:c r="B13" s="28" t="str">
        <x:v>All 37 Manicured Fingers acquisitions/stakes are accepted as CANON ownership.</x:v>
      </x:c>
      <x:c r="C13" s="28" t="str"/>
      <x:c r="D13" s="28" t="str"/>
      <x:c r="E13" s="28" t="str"/>
      <x:c r="F13" s="28" t="str"/>
    </x:row>
    <x:row r="14">
      <x:c r="A14" s="28" t="str">
        <x:v>10</x:v>
      </x:c>
      <x:c r="B14" s="28" t="str">
        <x:v>Ownership is locked; valuation and revenue figures remain working survey inputs where the source column says hypothesis.</x:v>
      </x:c>
      <x:c r="C14" s="28" t="str"/>
      <x:c r="D14" s="28" t="str"/>
      <x:c r="E14" s="28" t="str"/>
      <x:c r="F14" s="28" t="str"/>
    </x:row>
    <x:row r="15">
      <x:c r="A15" s="28" t="str">
        <x:v>11</x:v>
      </x:c>
      <x:c r="B15" s="28" t="str">
        <x:v>The Hat Fund depletion and remaining balance reflect those accepted stakes at the modeled acquisition values.</x:v>
      </x:c>
      <x:c r="C15" s="28" t="str"/>
      <x:c r="D15" s="28" t="str"/>
      <x:c r="E15" s="28" t="str"/>
      <x:c r="F15" s="28" t="str"/>
    </x:row>
    <x:row r="16">
      <x:c r="A16" s="69" t="str">
        <x:v>CANON TIMELINE GRENADE — HATS, BAGS &amp; SHINY THINGS</x:v>
      </x:c>
      <x:c r="B16" s="69" t="str">
        <x:v>Metis, Techne, personal/family assets, Artemis growth and later Patronage appreciation are excluded.</x:v>
      </x:c>
      <x:c r="C16" s="69" t="str"/>
      <x:c r="D16" s="69" t="str"/>
      <x:c r="E16" s="69" t="str"/>
      <x:c r="F16" s="28" t="str"/>
    </x:row>
    <x:row r="17">
      <x:c r="A17" t="str">
        <x:v>12</x:v>
      </x:c>
      <x:c r="B17" t="str">
        <x:v>The 40 accessory/jewelry stakes are CANON and were executed pre-reveal; this is recovered/retroactive history, not a new in-story purchase.</x:v>
      </x:c>
      <x:c r="C17" t="str"/>
      <x:c r="D17" t="str"/>
      <x:c r="E17" t="str"/>
      <x:c r="F17" t="str"/>
    </x:row>
    <x:row r="18">
      <x:c r="A18" t="str">
        <x:v>13</x:v>
      </x:c>
      <x:c r="B18" t="str">
        <x:v>Existing exposure inside LVMH, Richemont, Tapestry, Prada and other counted parents is not separately added.</x:v>
      </x:c>
      <x:c r="C18" t="str"/>
      <x:c r="D18" t="str"/>
      <x:c r="E18" t="str"/>
      <x:c r="F18" t="str"/>
    </x:row>
    <x:row r="19">
      <x:c r="A19" t="str">
        <x:v>14</x:v>
      </x:c>
      <x:c r="B19" t="str">
        <x:v>Ownership/stakes are canon. Private valuations and revenue hypotheses remain updateable survey inputs.</x:v>
      </x:c>
      <x:c r="C19" t="str"/>
      <x:c r="D19" t="str"/>
      <x:c r="E19" t="str"/>
      <x:c r="F19" t="str"/>
    </x:row>
    <x:row r="20">
      <x:c r="A20" s="72" t="str">
        <x:v>CANON TIMELINE GRENADE — SHOES / ATHLEISURE / RESORT</x:v>
      </x:c>
      <x:c r="B20" s="72" t="str">
        <x:v>Loro Piana is preserved as a source row but excluded from the total because LVMH is already counted.</x:v>
      </x:c>
      <x:c r="C20" s="72" t="str"/>
      <x:c r="D20" s="72" t="str"/>
      <x:c r="E20" s="72" t="str"/>
      <x:c r="F20" t="str"/>
    </x:row>
    <x:row r="21">
      <x:c r="A21" t="str">
        <x:v>15</x:v>
      </x:c>
      <x:c r="B21" t="str">
        <x:v>All 30 stakes on Shoes Athleisure Resort are CANON and retroactively pre-reveal.</x:v>
      </x:c>
      <x:c r="C21" t="str"/>
      <x:c r="D21" t="str"/>
      <x:c r="E21" t="str"/>
    </x:row>
    <x:row r="22">
      <x:c r="A22" t="str">
        <x:v>16</x:v>
      </x:c>
      <x:c r="B22" t="str">
        <x:v>Birkenstock Exchange is preserved as story material; the financial stake itself is current baseline.</x:v>
      </x:c>
      <x:c r="C22" t="str"/>
      <x:c r="D22" t="str"/>
      <x:c r="E22" t="str"/>
    </x:row>
    <x:row r="23">
      <x:c r="A23" t="str">
        <x:v>17</x:v>
      </x:c>
      <x:c r="B23" t="str">
        <x:v>Public-company numbers are current where sourced; private-company numbers remain working valuation/revenue hypotheses.</x:v>
      </x:c>
      <x:c r="C23" t="str"/>
      <x:c r="D23" t="str"/>
      <x:c r="E23" t="str"/>
    </x:row>
  </x:sheetData>
  <x:mergeCells>
    <x:mergeCell ref="A1:F1"/>
    <x:mergeCell ref="A11:F11"/>
    <x:mergeCell ref="B12:F12"/>
    <x:mergeCell ref="B13:F13"/>
    <x:mergeCell ref="B14:F14"/>
    <x:mergeCell ref="B15:F15"/>
    <x:mergeCell ref="B16:F16"/>
    <x:mergeCell ref="A17:F17"/>
    <x:mergeCell ref="B18:F18"/>
    <x:mergeCell ref="B19:F19"/>
    <x:mergeCell ref="B20:F20"/>
    <x:mergeCell ref="A12:F12"/>
    <x:mergeCell ref="A16:E16"/>
    <x:mergeCell ref="B17:E17"/>
    <x:mergeCell ref="B18:E18"/>
    <x:mergeCell ref="B19:E19"/>
    <x:mergeCell ref="A20:E20"/>
    <x:mergeCell ref="B21:E21"/>
    <x:mergeCell ref="B22:E22"/>
    <x:mergeCell ref="B23:E23"/>
  </x:mergeCells>
  <x:pageMargins left="0.7" right="0.7" top="0.75" bottom="0.75" header="0.3" footer="0.3"/>
  <x:drawing xmlns:r="http://schemas.openxmlformats.org/officeDocument/2006/relationships" r:id="Rd33bfee5f0a743b8"/>
</x:worksheet>
</file>

<file path=xl/worksheets/sheet4.xml><?xml version="1.0" encoding="utf-8"?>
<x:worksheet xmlns:x="http://schemas.openxmlformats.org/spreadsheetml/2006/main">
  <x:sheetFormatPr defaultRowHeight="15"/>
  <x:cols>
    <x:col min="1" max="1" width="22" hidden="0" customWidth="1"/>
    <x:col min="2" max="2" width="34" hidden="0" customWidth="1"/>
    <x:col min="3" max="3" width="18" hidden="0" customWidth="1"/>
    <x:col min="4" max="4" width="14" hidden="0" customWidth="1"/>
    <x:col min="5" max="5" width="11" hidden="0" customWidth="1"/>
    <x:col min="6" max="6" width="16" hidden="0" customWidth="1"/>
    <x:col min="7" max="7" width="15" hidden="0" customWidth="1"/>
    <x:col min="8" max="8" width="18" hidden="0" customWidth="1"/>
    <x:col min="9" max="9" width="18" hidden="0" customWidth="1"/>
    <x:col min="10" max="10" width="15" hidden="0" customWidth="1"/>
    <x:col min="11" max="11" width="28" hidden="0" customWidth="1"/>
    <x:col min="12" max="12" width="12" hidden="0" customWidth="1"/>
    <x:col min="13" max="13" width="34" hidden="0" customWidth="1"/>
    <x:col min="14" max="14" width="32" hidden="0" customWidth="1"/>
  </x:cols>
  <x:sheetData>
    <x:row r="1">
      <x:c r="A1" s="51" t="str">
        <x:v>MANICURED FINGERS ACQUISITION PROGRAM — lingerie first, beauty artillery when required</x:v>
      </x:c>
      <x:c r="B1" s="51"/>
      <x:c r="C1" s="51"/>
      <x:c r="D1" s="51"/>
      <x:c r="E1" s="51"/>
      <x:c r="F1" s="51"/>
      <x:c r="G1" s="51"/>
      <x:c r="H1" s="51"/>
      <x:c r="I1" s="51"/>
      <x:c r="J1" s="51"/>
      <x:c r="K1" s="51"/>
      <x:c r="L1" s="51"/>
      <x:c r="M1" s="51"/>
      <x:c r="N1" s="51"/>
    </x:row>
    <x:row r="2">
      <x:c r="A2" s="59" t="str">
        <x:v>CANON — ACQUISITIONS ACCEPTED: Jim owns the modeled stakes below. Fiction-author magic has closed the deals.</x:v>
      </x:c>
      <x:c r="B2" s="59"/>
      <x:c r="C2" s="59"/>
      <x:c r="D2" s="59"/>
      <x:c r="E2" s="59"/>
      <x:c r="F2" s="59"/>
      <x:c r="G2" s="59"/>
      <x:c r="H2" s="59"/>
      <x:c r="I2" s="59"/>
      <x:c r="J2" s="59"/>
      <x:c r="K2" s="59"/>
      <x:c r="L2" s="59"/>
      <x:c r="M2" s="59"/>
      <x:c r="N2" s="59"/>
    </x:row>
    <x:row r="3">
      <x:c r="A3" s="53" t="str">
        <x:v>Target / Group</x:v>
      </x:c>
      <x:c r="B3" s="53" t="str">
        <x:v>Brands / reason</x:v>
      </x:c>
      <x:c r="C3" s="53" t="str">
        <x:v>Pot</x:v>
      </x:c>
      <x:c r="D3" s="53" t="str">
        <x:v>Valuation / EV ($B)</x:v>
      </x:c>
      <x:c r="E3" s="53" t="str">
        <x:v>Jim stake %</x:v>
      </x:c>
      <x:c r="F3" s="53" t="str">
        <x:v>Attributable value ($B)</x:v>
      </x:c>
      <x:c r="G3" s="53" t="str">
        <x:v>Annual revenue ($B)</x:v>
      </x:c>
      <x:c r="H3" s="53" t="str">
        <x:v>Jim-attributable revenue ($B)</x:v>
      </x:c>
      <x:c r="I3" s="53" t="str">
        <x:v>Daily attributable revenue ($M)</x:v>
      </x:c>
      <x:c r="J3" s="53" t="str">
        <x:v>Hat Fund used ($B)</x:v>
      </x:c>
      <x:c r="K3" s="53" t="str">
        <x:v>Basis</x:v>
      </x:c>
      <x:c r="L3" s="53" t="str">
        <x:v>Status</x:v>
      </x:c>
      <x:c r="M3" s="53" t="str">
        <x:v>Source</x:v>
      </x:c>
      <x:c r="N3" s="53" t="str">
        <x:v>Notes</x:v>
      </x:c>
    </x:row>
    <x:row r="4">
      <x:c r="A4" s="28" t="str">
        <x:v>Victoria's Secret &amp; Co.</x:v>
      </x:c>
      <x:c r="B4" s="28" t="str">
        <x:v>Victoria's Secret, PINK, Adore Me</x:v>
      </x:c>
      <x:c r="C4" s="28" t="str">
        <x:v>Lingerie</x:v>
      </x:c>
      <x:c r="D4" s="47" t="n">
        <x:v>6.03</x:v>
      </x:c>
      <x:c r="E4" s="30" t="n">
        <x:v>0.51</x:v>
      </x:c>
      <x:c r="F4" s="48" t="n">
        <x:f>D4*E4</x:f>
        <x:v>3.0753000000000004</x:v>
      </x:c>
      <x:c r="G4" s="47" t="n">
        <x:v>6.76</x:v>
      </x:c>
      <x:c r="H4" s="48" t="n">
        <x:f>G4*E4</x:f>
        <x:v>3.4476</x:v>
      </x:c>
      <x:c r="I4" s="48" t="n">
        <x:f>H4*1000/365</x:f>
        <x:v>9.445479452054794</x:v>
      </x:c>
      <x:c r="J4" s="48" t="n">
        <x:f>F4</x:f>
        <x:v>3.0753000000000004</x:v>
      </x:c>
      <x:c r="K4" s="28" t="str">
        <x:v>Public Sep-2026 market cap / TTM revenue</x:v>
      </x:c>
      <x:c r="L4" s="28" t="str">
        <x:v>OWNED — CANON</x:v>
      </x:c>
      <x:c r="M4" s="28" t="str">
        <x:v>https://companiesmarketcap.com/victorias-secret-co/marketcap/</x:v>
      </x:c>
      <x:c r="N4" s="28" t="str">
        <x:v>Control position</x:v>
      </x:c>
    </x:row>
    <x:row r="5">
      <x:c r="A5" s="28" t="str">
        <x:v>SKIMS</x:v>
      </x:c>
      <x:c r="B5" s="28" t="str">
        <x:v>SKIMS; shapewear, intimates, apparel</x:v>
      </x:c>
      <x:c r="C5" s="28" t="str">
        <x:v>Lingerie</x:v>
      </x:c>
      <x:c r="D5" s="47" t="n">
        <x:v>5</x:v>
      </x:c>
      <x:c r="E5" s="30" t="n">
        <x:v>0.3</x:v>
      </x:c>
      <x:c r="F5" s="48" t="n">
        <x:f>D5*E5</x:f>
        <x:v>1.5</x:v>
      </x:c>
      <x:c r="G5" s="47" t="n">
        <x:v>1</x:v>
      </x:c>
      <x:c r="H5" s="48" t="n">
        <x:f>G5*E5</x:f>
        <x:v>0.3</x:v>
      </x:c>
      <x:c r="I5" s="48" t="n">
        <x:f>H5*1000/365</x:f>
        <x:v>0.821917808219178</x:v>
      </x:c>
      <x:c r="J5" s="48" t="n">
        <x:f>F5</x:f>
        <x:v>1.5</x:v>
      </x:c>
      <x:c r="K5" s="28" t="str">
        <x:v>2025 funding valuation / expected 2025 net sales</x:v>
      </x:c>
      <x:c r="L5" s="28" t="str">
        <x:v>OWNED — CANON</x:v>
      </x:c>
      <x:c r="M5" s="28" t="str">
        <x:v>https://www.forbes.com/sites/chasewithorn/2025/11/12/kim-kardashian-is-richer-than-ever-after-new-skims-funding/</x:v>
      </x:c>
      <x:c r="N5" s="28" t="str">
        <x:v>Strategic block; do not erase founders</x:v>
      </x:c>
    </x:row>
    <x:row r="6">
      <x:c r="A6" s="28" t="str">
        <x:v>Oniverse</x:v>
      </x:c>
      <x:c r="B6" s="28" t="str">
        <x:v>Intimissimi, Calzedonia, Tezenis, Atelier Emé + group</x:v>
      </x:c>
      <x:c r="C6" s="28" t="str">
        <x:v>Lingerie platform</x:v>
      </x:c>
      <x:c r="D6" s="47" t="n">
        <x:v>8</x:v>
      </x:c>
      <x:c r="E6" s="30" t="n">
        <x:v>0.3</x:v>
      </x:c>
      <x:c r="F6" s="48" t="n">
        <x:f>D6*E6</x:f>
        <x:v>2.4</x:v>
      </x:c>
      <x:c r="G6" s="47" t="n">
        <x:v>4.35</x:v>
      </x:c>
      <x:c r="H6" s="48" t="n">
        <x:f>G6*E6</x:f>
        <x:v>1.305</x:v>
      </x:c>
      <x:c r="I6" s="48" t="n">
        <x:f>H6*1000/365</x:f>
        <x:v>3.5753424657534247</x:v>
      </x:c>
      <x:c r="J6" s="48" t="n">
        <x:f>F6</x:f>
        <x:v>2.4</x:v>
      </x:c>
      <x:c r="K6" s="28" t="str">
        <x:v>Private hypothesis; revenue anchored to €3.7B 2025</x:v>
      </x:c>
      <x:c r="L6" s="28" t="str">
        <x:v>OWNED — CANON</x:v>
      </x:c>
      <x:c r="M6" s="28" t="str">
        <x:v>https://www.ansa.it/sito/notizie/economia/2026/02/16/il-fatturato-del-gruppo-oniverse-calzedonia-oltre-37-miliardi-nel-2025_ef85c9e7-3d90-45b6-990d-9c03c864323e.html</x:v>
      </x:c>
      <x:c r="N6" s="28" t="str">
        <x:v>Valuation is explicit fiction-model hypothesis; revenue converted/rounded to USD working value</x:v>
      </x:c>
    </x:row>
    <x:row r="7">
      <x:c r="A7" s="28" t="str">
        <x:v>Gildan / Hanes innerwear</x:v>
      </x:c>
      <x:c r="B7" s="28" t="str">
        <x:v>Bali, Maidenform, Playtex, Bras N Things, Berlei, Wonderbra + manufacturing</x:v>
      </x:c>
      <x:c r="C7" s="28" t="str">
        <x:v>Mass innerwear</x:v>
      </x:c>
      <x:c r="D7" s="47" t="n">
        <x:v>9.34</x:v>
      </x:c>
      <x:c r="E7" s="30" t="n">
        <x:v>0.3</x:v>
      </x:c>
      <x:c r="F7" s="48" t="n">
        <x:f>D7*E7</x:f>
        <x:v>2.802</x:v>
      </x:c>
      <x:c r="G7" s="47" t="n">
        <x:v>4.07</x:v>
      </x:c>
      <x:c r="H7" s="48" t="n">
        <x:f>G7*E7</x:f>
        <x:v>1.221</x:v>
      </x:c>
      <x:c r="I7" s="48" t="n">
        <x:f>H7*1000/365</x:f>
        <x:v>3.345205479452055</x:v>
      </x:c>
      <x:c r="J7" s="48" t="n">
        <x:f>F7</x:f>
        <x:v>2.802</x:v>
      </x:c>
      <x:c r="K7" s="28" t="str">
        <x:v>Public Sep-2026 market cap / TTM revenue</x:v>
      </x:c>
      <x:c r="L7" s="28" t="str">
        <x:v>OWNED — CANON</x:v>
      </x:c>
      <x:c r="M7" s="28" t="str">
        <x:v>https://companiesmarketcap.com/gildan/marketcap/</x:v>
      </x:c>
      <x:c r="N7" s="28" t="str">
        <x:v>Count parent once</x:v>
      </x:c>
    </x:row>
    <x:row r="8">
      <x:c r="A8" s="28" t="str">
        <x:v>Wacoal Holdings</x:v>
      </x:c>
      <x:c r="B8" s="28" t="str">
        <x:v>Wacoal and intimate apparel portfolio</x:v>
      </x:c>
      <x:c r="C8" s="28" t="str">
        <x:v>Lingerie</x:v>
      </x:c>
      <x:c r="D8" s="47" t="n">
        <x:v>1.28</x:v>
      </x:c>
      <x:c r="E8" s="30" t="n">
        <x:v>0.3</x:v>
      </x:c>
      <x:c r="F8" s="48" t="n">
        <x:f>D8*E8</x:f>
        <x:v>0.384</x:v>
      </x:c>
      <x:c r="G8" s="47" t="n">
        <x:v>1.4</x:v>
      </x:c>
      <x:c r="H8" s="48" t="n">
        <x:f>G8*E8</x:f>
        <x:v>0.42</x:v>
      </x:c>
      <x:c r="I8" s="48" t="n">
        <x:f>H8*1000/365</x:f>
        <x:v>1.1506849315068493</x:v>
      </x:c>
      <x:c r="J8" s="48" t="n">
        <x:f>F8</x:f>
        <x:v>0.384</x:v>
      </x:c>
      <x:c r="K8" s="28" t="str">
        <x:v>Public Sep-2026 market cap; revenue working hypothesis</x:v>
      </x:c>
      <x:c r="L8" s="28" t="str">
        <x:v>OWNED — CANON</x:v>
      </x:c>
      <x:c r="M8" s="28" t="str">
        <x:v>https://companiesmarketcap.com/wacoal-holdings/marketcap/</x:v>
      </x:c>
      <x:c r="N8" s="28" t="str">
        <x:v>Revenue to refresh before canon lock</x:v>
      </x:c>
    </x:row>
    <x:row r="9">
      <x:c r="A9" s="28" t="str">
        <x:v>American Eagle Outfitters</x:v>
      </x:c>
      <x:c r="B9" s="28" t="str">
        <x:v>Aerie / OFFLINE plus AEO parent</x:v>
      </x:c>
      <x:c r="C9" s="28" t="str">
        <x:v>Lingerie / lifestyle</x:v>
      </x:c>
      <x:c r="D9" s="47" t="n">
        <x:v>2.83</x:v>
      </x:c>
      <x:c r="E9" s="30" t="n">
        <x:v>0.3</x:v>
      </x:c>
      <x:c r="F9" s="48" t="n">
        <x:f>D9*E9</x:f>
        <x:v>0.849</x:v>
      </x:c>
      <x:c r="G9" s="47" t="n">
        <x:v>5.65</x:v>
      </x:c>
      <x:c r="H9" s="48" t="n">
        <x:f>G9*E9</x:f>
        <x:v>1.695</x:v>
      </x:c>
      <x:c r="I9" s="48" t="n">
        <x:f>H9*1000/365</x:f>
        <x:v>4.6438356164383565</x:v>
      </x:c>
      <x:c r="J9" s="48" t="n">
        <x:f>F9</x:f>
        <x:v>0.849</x:v>
      </x:c>
      <x:c r="K9" s="28" t="str">
        <x:v>Public Sep-2026 market cap / TTM parent revenue</x:v>
      </x:c>
      <x:c r="L9" s="28" t="str">
        <x:v>OWNED — CANON</x:v>
      </x:c>
      <x:c r="M9" s="28" t="str">
        <x:v>https://companiesmarketcap.com/american-eagle-outfitters/marketcap/</x:v>
      </x:c>
      <x:c r="N9" s="28" t="str">
        <x:v>Revenue is whole parent, not Aerie-only</x:v>
      </x:c>
    </x:row>
    <x:row r="10">
      <x:c r="A10" s="28" t="str">
        <x:v>Spanx</x:v>
      </x:c>
      <x:c r="B10" s="28" t="str">
        <x:v>Spanx</x:v>
      </x:c>
      <x:c r="C10" s="28" t="str">
        <x:v>Shapewear</x:v>
      </x:c>
      <x:c r="D10" s="47" t="n">
        <x:v>1.2</x:v>
      </x:c>
      <x:c r="E10" s="30" t="n">
        <x:v>0.3</x:v>
      </x:c>
      <x:c r="F10" s="48" t="n">
        <x:f>D10*E10</x:f>
        <x:v>0.36</x:v>
      </x:c>
      <x:c r="G10" s="47" t="n">
        <x:v>0.5</x:v>
      </x:c>
      <x:c r="H10" s="48" t="n">
        <x:f>G10*E10</x:f>
        <x:v>0.15</x:v>
      </x:c>
      <x:c r="I10" s="48" t="n">
        <x:f>H10*1000/365</x:f>
        <x:v>0.410958904109589</x:v>
      </x:c>
      <x:c r="J10" s="48" t="n">
        <x:f>F10</x:f>
        <x:v>0.36</x:v>
      </x:c>
      <x:c r="K10" s="28" t="str">
        <x:v>2021 Blackstone valuation; revenue hypothesis</x:v>
      </x:c>
      <x:c r="L10" s="28" t="str">
        <x:v>OWNED — CANON</x:v>
      </x:c>
      <x:c r="M10" s="28" t="str">
        <x:v>https://www.forbes.com/profile/sara-blakely/</x:v>
      </x:c>
      <x:c r="N10" s="28" t="str">
        <x:v>Preserve Sara Blakely agency</x:v>
      </x:c>
    </x:row>
    <x:row r="11">
      <x:c r="A11" s="28" t="str">
        <x:v>Triumph International</x:v>
      </x:c>
      <x:c r="B11" s="28" t="str">
        <x:v>Triumph, sloggi</x:v>
      </x:c>
      <x:c r="C11" s="28" t="str">
        <x:v>Lingerie</x:v>
      </x:c>
      <x:c r="D11" s="47" t="n">
        <x:v>2.5</x:v>
      </x:c>
      <x:c r="E11" s="30" t="n">
        <x:v>0.3</x:v>
      </x:c>
      <x:c r="F11" s="48" t="n">
        <x:f>D11*E11</x:f>
        <x:v>0.75</x:v>
      </x:c>
      <x:c r="G11" s="47" t="n">
        <x:v>1.5</x:v>
      </x:c>
      <x:c r="H11" s="48" t="n">
        <x:f>G11*E11</x:f>
        <x:v>0.44999999999999996</x:v>
      </x:c>
      <x:c r="I11" s="48" t="n">
        <x:f>H11*1000/365</x:f>
        <x:v>1.232876712328767</x:v>
      </x:c>
      <x:c r="J11" s="48" t="n">
        <x:f>F11</x:f>
        <x:v>0.75</x:v>
      </x:c>
      <x:c r="K11" s="28" t="str">
        <x:v>Private model hypothesis</x:v>
      </x:c>
      <x:c r="L11" s="28" t="str">
        <x:v>OWNED — CANON</x:v>
      </x:c>
      <x:c r="M11" s="28" t="str">
        <x:v>https://find-and-update.company-information.service.gov.uk/company/00536483</x:v>
      </x:c>
      <x:c r="N11" s="28" t="str">
        <x:v>Active private company; valuation/revenue hypotheses</x:v>
      </x:c>
    </x:row>
    <x:row r="12">
      <x:c r="A12" s="28" t="str">
        <x:v>La Perla</x:v>
      </x:c>
      <x:c r="B12" s="28" t="str">
        <x:v>La Perla brand/IP/atelier via distressed shells as available</x:v>
      </x:c>
      <x:c r="C12" s="28" t="str">
        <x:v>Jewelry-box lingerie</x:v>
      </x:c>
      <x:c r="D12" s="47" t="n">
        <x:v>0.5</x:v>
      </x:c>
      <x:c r="E12" s="30" t="n">
        <x:v>1</x:v>
      </x:c>
      <x:c r="F12" s="48" t="n">
        <x:f>D12*E12</x:f>
        <x:v>0.5</x:v>
      </x:c>
      <x:c r="G12" s="47" t="n">
        <x:v>0.15</x:v>
      </x:c>
      <x:c r="H12" s="48" t="n">
        <x:f>G12*E12</x:f>
        <x:v>0.15</x:v>
      </x:c>
      <x:c r="I12" s="48" t="n">
        <x:f>H12*1000/365</x:f>
        <x:v>0.410958904109589</x:v>
      </x:c>
      <x:c r="J12" s="48" t="n">
        <x:f>F12</x:f>
        <x:v>0.5</x:v>
      </x:c>
      <x:c r="K12" s="28" t="str">
        <x:v>Distressed luxury-brand hypothesis</x:v>
      </x:c>
      <x:c r="L12" s="28" t="str">
        <x:v>OWNED — CANON</x:v>
      </x:c>
      <x:c r="M12" s="28" t="str"/>
      <x:c r="N12" s="28" t="str">
        <x:v>Acquire brand/IP/operating shells as available; not pretending one clean share purchase</x:v>
      </x:c>
    </x:row>
    <x:row r="13">
      <x:c r="A13" s="28" t="str">
        <x:v>Agent Provocateur</x:v>
      </x:c>
      <x:c r="B13" s="28" t="str">
        <x:v>Agent Provocateur</x:v>
      </x:c>
      <x:c r="C13" s="28" t="str">
        <x:v>Jewelry-box lingerie</x:v>
      </x:c>
      <x:c r="D13" s="47" t="n">
        <x:v>0.25</x:v>
      </x:c>
      <x:c r="E13" s="30" t="n">
        <x:v>1</x:v>
      </x:c>
      <x:c r="F13" s="48" t="n">
        <x:f>D13*E13</x:f>
        <x:v>0.25</x:v>
      </x:c>
      <x:c r="G13" s="47" t="n">
        <x:v>0.08</x:v>
      </x:c>
      <x:c r="H13" s="48" t="n">
        <x:f>G13*E13</x:f>
        <x:v>0.08</x:v>
      </x:c>
      <x:c r="I13" s="48" t="n">
        <x:f>H13*1000/365</x:f>
        <x:v>0.2191780821917808</x:v>
      </x:c>
      <x:c r="J13" s="48" t="n">
        <x:f>F13</x:f>
        <x:v>0.25</x:v>
      </x:c>
      <x:c r="K13" s="28" t="str">
        <x:v>Private hypothesis; e-commerce evidence</x:v>
      </x:c>
      <x:c r="L13" s="28" t="str">
        <x:v>OWNED — CANON</x:v>
      </x:c>
      <x:c r="M13" s="28" t="str">
        <x:v>https://gripsintelligence.com/insights/retailers/agentprovocateur.com</x:v>
      </x:c>
      <x:c r="N13" s="28" t="str">
        <x:v>Luxury rescue/control</x:v>
      </x:c>
    </x:row>
    <x:row r="14">
      <x:c r="A14" s="28" t="str">
        <x:v>Fleur du Mal</x:v>
      </x:c>
      <x:c r="B14" s="28" t="str">
        <x:v>Fleur du Mal</x:v>
      </x:c>
      <x:c r="C14" s="28" t="str">
        <x:v>Jewelry-box lingerie</x:v>
      </x:c>
      <x:c r="D14" s="47" t="n">
        <x:v>0.1</x:v>
      </x:c>
      <x:c r="E14" s="30" t="n">
        <x:v>1</x:v>
      </x:c>
      <x:c r="F14" s="48" t="n">
        <x:f>D14*E14</x:f>
        <x:v>0.1</x:v>
      </x:c>
      <x:c r="G14" s="47" t="n">
        <x:v>0.032</x:v>
      </x:c>
      <x:c r="H14" s="48" t="n">
        <x:f>G14*E14</x:f>
        <x:v>0.032</x:v>
      </x:c>
      <x:c r="I14" s="48" t="n">
        <x:f>H14*1000/365</x:f>
        <x:v>0.08767123287671233</x:v>
      </x:c>
      <x:c r="J14" s="48" t="n">
        <x:f>F14</x:f>
        <x:v>0.1</x:v>
      </x:c>
      <x:c r="K14" s="28" t="str">
        <x:v>Private hypothesis; e-commerce estimate</x:v>
      </x:c>
      <x:c r="L14" s="28" t="str">
        <x:v>OWNED — CANON</x:v>
      </x:c>
      <x:c r="M14" s="28" t="str">
        <x:v>https://www.particl.com/company/fleur-du-mal</x:v>
      </x:c>
      <x:c r="N14" s="28" t="str">
        <x:v>Mandatory because the name is perfect</x:v>
      </x:c>
    </x:row>
    <x:row r="15">
      <x:c r="A15" s="28" t="str">
        <x:v>Bordelle</x:v>
      </x:c>
      <x:c r="B15" s="28" t="str">
        <x:v>Bordelle</x:v>
      </x:c>
      <x:c r="C15" s="28" t="str">
        <x:v>Jewelry-box lingerie</x:v>
      </x:c>
      <x:c r="D15" s="47" t="n">
        <x:v>0.08</x:v>
      </x:c>
      <x:c r="E15" s="30" t="n">
        <x:v>1</x:v>
      </x:c>
      <x:c r="F15" s="48" t="n">
        <x:f>D15*E15</x:f>
        <x:v>0.08</x:v>
      </x:c>
      <x:c r="G15" s="47" t="n">
        <x:v>0.025</x:v>
      </x:c>
      <x:c r="H15" s="48" t="n">
        <x:f>G15*E15</x:f>
        <x:v>0.025</x:v>
      </x:c>
      <x:c r="I15" s="48" t="n">
        <x:f>H15*1000/365</x:f>
        <x:v>0.0684931506849315</x:v>
      </x:c>
      <x:c r="J15" s="48" t="n">
        <x:f>F15</x:f>
        <x:v>0.08</x:v>
      </x:c>
      <x:c r="K15" s="28" t="str">
        <x:v>Private model hypothesis</x:v>
      </x:c>
      <x:c r="L15" s="28" t="str">
        <x:v>OWNED — CANON</x:v>
      </x:c>
      <x:c r="M15" s="28" t="str"/>
      <x:c r="N15" s="28" t="str">
        <x:v>Luxury atelier hypothesis</x:v>
      </x:c>
    </x:row>
    <x:row r="16">
      <x:c r="A16" s="28" t="str">
        <x:v>Carine Gilson</x:v>
      </x:c>
      <x:c r="B16" s="28" t="str">
        <x:v>Carine Gilson</x:v>
      </x:c>
      <x:c r="C16" s="28" t="str">
        <x:v>Jewelry-box lingerie</x:v>
      </x:c>
      <x:c r="D16" s="47" t="n">
        <x:v>0.06</x:v>
      </x:c>
      <x:c r="E16" s="30" t="n">
        <x:v>1</x:v>
      </x:c>
      <x:c r="F16" s="48" t="n">
        <x:f>D16*E16</x:f>
        <x:v>0.06</x:v>
      </x:c>
      <x:c r="G16" s="47" t="n">
        <x:v>0.018</x:v>
      </x:c>
      <x:c r="H16" s="48" t="n">
        <x:f>G16*E16</x:f>
        <x:v>0.018</x:v>
      </x:c>
      <x:c r="I16" s="48" t="n">
        <x:f>H16*1000/365</x:f>
        <x:v>0.049315068493150684</x:v>
      </x:c>
      <x:c r="J16" s="48" t="n">
        <x:f>F16</x:f>
        <x:v>0.06</x:v>
      </x:c>
      <x:c r="K16" s="28" t="str">
        <x:v>Private model hypothesis</x:v>
      </x:c>
      <x:c r="L16" s="28" t="str">
        <x:v>OWNED — CANON</x:v>
      </x:c>
      <x:c r="M16" s="28" t="str"/>
      <x:c r="N16" s="28" t="str">
        <x:v>Luxury atelier hypothesis</x:v>
      </x:c>
    </x:row>
    <x:row r="17">
      <x:c r="A17" s="28" t="str">
        <x:v>I.D. Sarrieri</x:v>
      </x:c>
      <x:c r="B17" s="28" t="str">
        <x:v>I.D. Sarrieri</x:v>
      </x:c>
      <x:c r="C17" s="28" t="str">
        <x:v>Jewelry-box lingerie</x:v>
      </x:c>
      <x:c r="D17" s="47" t="n">
        <x:v>0.06</x:v>
      </x:c>
      <x:c r="E17" s="30" t="n">
        <x:v>1</x:v>
      </x:c>
      <x:c r="F17" s="48" t="n">
        <x:f>D17*E17</x:f>
        <x:v>0.06</x:v>
      </x:c>
      <x:c r="G17" s="47" t="n">
        <x:v>0.02</x:v>
      </x:c>
      <x:c r="H17" s="48" t="n">
        <x:f>G17*E17</x:f>
        <x:v>0.02</x:v>
      </x:c>
      <x:c r="I17" s="48" t="n">
        <x:f>H17*1000/365</x:f>
        <x:v>0.0547945205479452</x:v>
      </x:c>
      <x:c r="J17" s="48" t="n">
        <x:f>F17</x:f>
        <x:v>0.06</x:v>
      </x:c>
      <x:c r="K17" s="28" t="str">
        <x:v>Private model hypothesis</x:v>
      </x:c>
      <x:c r="L17" s="28" t="str">
        <x:v>OWNED — CANON</x:v>
      </x:c>
      <x:c r="M17" s="28" t="str"/>
      <x:c r="N17" s="28" t="str">
        <x:v>Luxury atelier hypothesis</x:v>
      </x:c>
    </x:row>
    <x:row r="18">
      <x:c r="A18" s="28" t="str">
        <x:v>Kiki de Montparnasse</x:v>
      </x:c>
      <x:c r="B18" s="28" t="str">
        <x:v>Kiki de Montparnasse</x:v>
      </x:c>
      <x:c r="C18" s="28" t="str">
        <x:v>Jewelry-box lingerie</x:v>
      </x:c>
      <x:c r="D18" s="47" t="n">
        <x:v>0.08</x:v>
      </x:c>
      <x:c r="E18" s="30" t="n">
        <x:v>1</x:v>
      </x:c>
      <x:c r="F18" s="48" t="n">
        <x:f>D18*E18</x:f>
        <x:v>0.08</x:v>
      </x:c>
      <x:c r="G18" s="47" t="n">
        <x:v>0.025</x:v>
      </x:c>
      <x:c r="H18" s="48" t="n">
        <x:f>G18*E18</x:f>
        <x:v>0.025</x:v>
      </x:c>
      <x:c r="I18" s="48" t="n">
        <x:f>H18*1000/365</x:f>
        <x:v>0.0684931506849315</x:v>
      </x:c>
      <x:c r="J18" s="48" t="n">
        <x:f>F18</x:f>
        <x:v>0.08</x:v>
      </x:c>
      <x:c r="K18" s="28" t="str">
        <x:v>Private model hypothesis</x:v>
      </x:c>
      <x:c r="L18" s="28" t="str">
        <x:v>OWNED — CANON</x:v>
      </x:c>
      <x:c r="M18" s="28" t="str"/>
      <x:c r="N18" s="28" t="str">
        <x:v>Name alone triggers Mom acquisition protocol</x:v>
      </x:c>
    </x:row>
    <x:row r="19">
      <x:c r="A19" s="28" t="str">
        <x:v>Fleur of England</x:v>
      </x:c>
      <x:c r="B19" s="28" t="str">
        <x:v>Fleur of England</x:v>
      </x:c>
      <x:c r="C19" s="28" t="str">
        <x:v>Jewelry-box lingerie</x:v>
      </x:c>
      <x:c r="D19" s="47" t="n">
        <x:v>0.04</x:v>
      </x:c>
      <x:c r="E19" s="30" t="n">
        <x:v>1</x:v>
      </x:c>
      <x:c r="F19" s="48" t="n">
        <x:f>D19*E19</x:f>
        <x:v>0.04</x:v>
      </x:c>
      <x:c r="G19" s="47" t="n">
        <x:v>0.012</x:v>
      </x:c>
      <x:c r="H19" s="48" t="n">
        <x:f>G19*E19</x:f>
        <x:v>0.012</x:v>
      </x:c>
      <x:c r="I19" s="48" t="n">
        <x:f>H19*1000/365</x:f>
        <x:v>0.03287671232876712</x:v>
      </x:c>
      <x:c r="J19" s="48" t="n">
        <x:f>F19</x:f>
        <x:v>0.04</x:v>
      </x:c>
      <x:c r="K19" s="28" t="str">
        <x:v>Private model hypothesis</x:v>
      </x:c>
      <x:c r="L19" s="28" t="str">
        <x:v>OWNED — CANON</x:v>
      </x:c>
      <x:c r="M19" s="28" t="str"/>
      <x:c r="N19" s="28" t="str">
        <x:v>Luxury atelier hypothesis</x:v>
      </x:c>
    </x:row>
    <x:row r="20">
      <x:c r="A20" s="28" t="str">
        <x:v>Lise Charmel</x:v>
      </x:c>
      <x:c r="B20" s="28" t="str">
        <x:v>Lise Charmel</x:v>
      </x:c>
      <x:c r="C20" s="28" t="str">
        <x:v>Jewelry-box lingerie</x:v>
      </x:c>
      <x:c r="D20" s="47" t="n">
        <x:v>0.18</x:v>
      </x:c>
      <x:c r="E20" s="30" t="n">
        <x:v>0.51</x:v>
      </x:c>
      <x:c r="F20" s="48" t="n">
        <x:f>D20*E20</x:f>
        <x:v>0.09179999999999999</x:v>
      </x:c>
      <x:c r="G20" s="47" t="n">
        <x:v>0.12</x:v>
      </x:c>
      <x:c r="H20" s="48" t="n">
        <x:f>G20*E20</x:f>
        <x:v>0.0612</x:v>
      </x:c>
      <x:c r="I20" s="48" t="n">
        <x:f>H20*1000/365</x:f>
        <x:v>0.16767123287671232</x:v>
      </x:c>
      <x:c r="J20" s="48" t="n">
        <x:f>F20</x:f>
        <x:v>0.09179999999999999</x:v>
      </x:c>
      <x:c r="K20" s="28" t="str">
        <x:v>Private model hypothesis</x:v>
      </x:c>
      <x:c r="L20" s="28" t="str">
        <x:v>OWNED — CANON</x:v>
      </x:c>
      <x:c r="M20" s="28" t="str"/>
      <x:c r="N20" s="28" t="str">
        <x:v>Control</x:v>
      </x:c>
    </x:row>
    <x:row r="21">
      <x:c r="A21" s="28" t="str">
        <x:v>Aubade</x:v>
      </x:c>
      <x:c r="B21" s="28" t="str">
        <x:v>Aubade</x:v>
      </x:c>
      <x:c r="C21" s="28" t="str">
        <x:v>Jewelry-box lingerie</x:v>
      </x:c>
      <x:c r="D21" s="47" t="n">
        <x:v>0.2</x:v>
      </x:c>
      <x:c r="E21" s="30" t="n">
        <x:v>0.51</x:v>
      </x:c>
      <x:c r="F21" s="48" t="n">
        <x:f>D21*E21</x:f>
        <x:v>0.10200000000000001</x:v>
      </x:c>
      <x:c r="G21" s="47" t="n">
        <x:v>0.15</x:v>
      </x:c>
      <x:c r="H21" s="48" t="n">
        <x:f>G21*E21</x:f>
        <x:v>0.0765</x:v>
      </x:c>
      <x:c r="I21" s="48" t="n">
        <x:f>H21*1000/365</x:f>
        <x:v>0.2095890410958904</x:v>
      </x:c>
      <x:c r="J21" s="48" t="n">
        <x:f>F21</x:f>
        <x:v>0.10200000000000001</x:v>
      </x:c>
      <x:c r="K21" s="28" t="str">
        <x:v>Private model hypothesis</x:v>
      </x:c>
      <x:c r="L21" s="28" t="str">
        <x:v>OWNED — CANON</x:v>
      </x:c>
      <x:c r="M21" s="28" t="str"/>
      <x:c r="N21" s="28" t="str">
        <x:v>Control</x:v>
      </x:c>
    </x:row>
    <x:row r="22">
      <x:c r="A22" s="28" t="str">
        <x:v>Simone Pérèle</x:v>
      </x:c>
      <x:c r="B22" s="28" t="str">
        <x:v>Simone Pérèle</x:v>
      </x:c>
      <x:c r="C22" s="28" t="str">
        <x:v>Jewelry-box lingerie</x:v>
      </x:c>
      <x:c r="D22" s="47" t="n">
        <x:v>0.25</x:v>
      </x:c>
      <x:c r="E22" s="30" t="n">
        <x:v>0.51</x:v>
      </x:c>
      <x:c r="F22" s="48" t="n">
        <x:f>D22*E22</x:f>
        <x:v>0.1275</x:v>
      </x:c>
      <x:c r="G22" s="47" t="n">
        <x:v>0.2</x:v>
      </x:c>
      <x:c r="H22" s="48" t="n">
        <x:f>G22*E22</x:f>
        <x:v>0.10200000000000001</x:v>
      </x:c>
      <x:c r="I22" s="48" t="n">
        <x:f>H22*1000/365</x:f>
        <x:v>0.27945205479452057</x:v>
      </x:c>
      <x:c r="J22" s="48" t="n">
        <x:f>F22</x:f>
        <x:v>0.1275</x:v>
      </x:c>
      <x:c r="K22" s="28" t="str">
        <x:v>Private model hypothesis</x:v>
      </x:c>
      <x:c r="L22" s="28" t="str">
        <x:v>OWNED — CANON</x:v>
      </x:c>
      <x:c r="M22" s="28" t="str"/>
      <x:c r="N22" s="28" t="str">
        <x:v>Control</x:v>
      </x:c>
    </x:row>
    <x:row r="23">
      <x:c r="A23" s="28" t="str">
        <x:v>Coco de Mer</x:v>
      </x:c>
      <x:c r="B23" s="28" t="str">
        <x:v>Coco de Mer</x:v>
      </x:c>
      <x:c r="C23" s="28" t="str">
        <x:v>Jewelry-box lingerie</x:v>
      </x:c>
      <x:c r="D23" s="47" t="n">
        <x:v>0.05</x:v>
      </x:c>
      <x:c r="E23" s="30" t="n">
        <x:v>1</x:v>
      </x:c>
      <x:c r="F23" s="48" t="n">
        <x:f>D23*E23</x:f>
        <x:v>0.05</x:v>
      </x:c>
      <x:c r="G23" s="47" t="n">
        <x:v>0.015</x:v>
      </x:c>
      <x:c r="H23" s="48" t="n">
        <x:f>G23*E23</x:f>
        <x:v>0.015</x:v>
      </x:c>
      <x:c r="I23" s="48" t="n">
        <x:f>H23*1000/365</x:f>
        <x:v>0.0410958904109589</x:v>
      </x:c>
      <x:c r="J23" s="48" t="n">
        <x:f>F23</x:f>
        <x:v>0.05</x:v>
      </x:c>
      <x:c r="K23" s="28" t="str">
        <x:v>Private model hypothesis</x:v>
      </x:c>
      <x:c r="L23" s="28" t="str">
        <x:v>OWNED — CANON</x:v>
      </x:c>
      <x:c r="M23" s="28" t="str"/>
      <x:c r="N23" s="28" t="str">
        <x:v>Luxury atelier hypothesis</x:v>
      </x:c>
    </x:row>
    <x:row r="24">
      <x:c r="A24" s="28" t="str">
        <x:v>Maison Close</x:v>
      </x:c>
      <x:c r="B24" s="28" t="str">
        <x:v>Maison Close</x:v>
      </x:c>
      <x:c r="C24" s="28" t="str">
        <x:v>Jewelry-box lingerie</x:v>
      </x:c>
      <x:c r="D24" s="47" t="n">
        <x:v>0.07</x:v>
      </x:c>
      <x:c r="E24" s="30" t="n">
        <x:v>1</x:v>
      </x:c>
      <x:c r="F24" s="48" t="n">
        <x:f>D24*E24</x:f>
        <x:v>0.07</x:v>
      </x:c>
      <x:c r="G24" s="47" t="n">
        <x:v>0.022</x:v>
      </x:c>
      <x:c r="H24" s="48" t="n">
        <x:f>G24*E24</x:f>
        <x:v>0.022</x:v>
      </x:c>
      <x:c r="I24" s="48" t="n">
        <x:f>H24*1000/365</x:f>
        <x:v>0.06027397260273973</x:v>
      </x:c>
      <x:c r="J24" s="48" t="n">
        <x:f>F24</x:f>
        <x:v>0.07</x:v>
      </x:c>
      <x:c r="K24" s="28" t="str">
        <x:v>Private model hypothesis</x:v>
      </x:c>
      <x:c r="L24" s="28" t="str">
        <x:v>OWNED — CANON</x:v>
      </x:c>
      <x:c r="M24" s="28" t="str"/>
      <x:c r="N24" s="28" t="str">
        <x:v>Luxury atelier hypothesis</x:v>
      </x:c>
    </x:row>
    <x:row r="25">
      <x:c r="A25" s="28" t="str">
        <x:v>Studio Pia</x:v>
      </x:c>
      <x:c r="B25" s="28" t="str">
        <x:v>Studio Pia</x:v>
      </x:c>
      <x:c r="C25" s="28" t="str">
        <x:v>Jewelry-box lingerie</x:v>
      </x:c>
      <x:c r="D25" s="47" t="n">
        <x:v>0.04</x:v>
      </x:c>
      <x:c r="E25" s="30" t="n">
        <x:v>1</x:v>
      </x:c>
      <x:c r="F25" s="48" t="n">
        <x:f>D25*E25</x:f>
        <x:v>0.04</x:v>
      </x:c>
      <x:c r="G25" s="47" t="n">
        <x:v>0.012</x:v>
      </x:c>
      <x:c r="H25" s="48" t="n">
        <x:f>G25*E25</x:f>
        <x:v>0.012</x:v>
      </x:c>
      <x:c r="I25" s="48" t="n">
        <x:f>H25*1000/365</x:f>
        <x:v>0.03287671232876712</x:v>
      </x:c>
      <x:c r="J25" s="48" t="n">
        <x:f>F25</x:f>
        <x:v>0.04</x:v>
      </x:c>
      <x:c r="K25" s="28" t="str">
        <x:v>Private model hypothesis</x:v>
      </x:c>
      <x:c r="L25" s="28" t="str">
        <x:v>OWNED — CANON</x:v>
      </x:c>
      <x:c r="M25" s="28" t="str"/>
      <x:c r="N25" s="28" t="str">
        <x:v>Luxury atelier hypothesis</x:v>
      </x:c>
    </x:row>
    <x:row r="26">
      <x:c r="A26" s="28" t="str">
        <x:v>Edge o' Beyond</x:v>
      </x:c>
      <x:c r="B26" s="28" t="str">
        <x:v>Edge o' Beyond</x:v>
      </x:c>
      <x:c r="C26" s="28" t="str">
        <x:v>Jewelry-box lingerie</x:v>
      </x:c>
      <x:c r="D26" s="47" t="n">
        <x:v>0.03</x:v>
      </x:c>
      <x:c r="E26" s="30" t="n">
        <x:v>1</x:v>
      </x:c>
      <x:c r="F26" s="48" t="n">
        <x:f>D26*E26</x:f>
        <x:v>0.03</x:v>
      </x:c>
      <x:c r="G26" s="47" t="n">
        <x:v>0.009</x:v>
      </x:c>
      <x:c r="H26" s="48" t="n">
        <x:f>G26*E26</x:f>
        <x:v>0.009</x:v>
      </x:c>
      <x:c r="I26" s="48" t="n">
        <x:f>H26*1000/365</x:f>
        <x:v>0.024657534246575342</x:v>
      </x:c>
      <x:c r="J26" s="48" t="n">
        <x:f>F26</x:f>
        <x:v>0.03</x:v>
      </x:c>
      <x:c r="K26" s="28" t="str">
        <x:v>Private model hypothesis</x:v>
      </x:c>
      <x:c r="L26" s="28" t="str">
        <x:v>OWNED — CANON</x:v>
      </x:c>
      <x:c r="M26" s="28" t="str"/>
      <x:c r="N26" s="28" t="str">
        <x:v>Luxury atelier hypothesis</x:v>
      </x:c>
    </x:row>
    <x:row r="27">
      <x:c r="A27" s="28" t="str">
        <x:v>Marjolaine</x:v>
      </x:c>
      <x:c r="B27" s="28" t="str">
        <x:v>Marjolaine</x:v>
      </x:c>
      <x:c r="C27" s="28" t="str">
        <x:v>Jewelry-box lingerie</x:v>
      </x:c>
      <x:c r="D27" s="47" t="n">
        <x:v>0.08</x:v>
      </x:c>
      <x:c r="E27" s="30" t="n">
        <x:v>0.51</x:v>
      </x:c>
      <x:c r="F27" s="48" t="n">
        <x:f>D27*E27</x:f>
        <x:v>0.0408</x:v>
      </x:c>
      <x:c r="G27" s="47" t="n">
        <x:v>0.04</x:v>
      </x:c>
      <x:c r="H27" s="48" t="n">
        <x:f>G27*E27</x:f>
        <x:v>0.0204</x:v>
      </x:c>
      <x:c r="I27" s="48" t="n">
        <x:f>H27*1000/365</x:f>
        <x:v>0.05589041095890412</x:v>
      </x:c>
      <x:c r="J27" s="48" t="n">
        <x:f>F27</x:f>
        <x:v>0.0408</x:v>
      </x:c>
      <x:c r="K27" s="28" t="str">
        <x:v>Private model hypothesis</x:v>
      </x:c>
      <x:c r="L27" s="28" t="str">
        <x:v>OWNED — CANON</x:v>
      </x:c>
      <x:c r="M27" s="28" t="str"/>
      <x:c r="N27" s="28" t="str">
        <x:v>Silk/nightwear</x:v>
      </x:c>
    </x:row>
    <x:row r="28">
      <x:c r="A28" s="28" t="str">
        <x:v>LIVY</x:v>
      </x:c>
      <x:c r="B28" s="28" t="str">
        <x:v>LIVY</x:v>
      </x:c>
      <x:c r="C28" s="28" t="str">
        <x:v>Jewelry-box lingerie</x:v>
      </x:c>
      <x:c r="D28" s="47" t="n">
        <x:v>0.05</x:v>
      </x:c>
      <x:c r="E28" s="30" t="n">
        <x:v>1</x:v>
      </x:c>
      <x:c r="F28" s="48" t="n">
        <x:f>D28*E28</x:f>
        <x:v>0.05</x:v>
      </x:c>
      <x:c r="G28" s="47" t="n">
        <x:v>0.015</x:v>
      </x:c>
      <x:c r="H28" s="48" t="n">
        <x:f>G28*E28</x:f>
        <x:v>0.015</x:v>
      </x:c>
      <x:c r="I28" s="48" t="n">
        <x:f>H28*1000/365</x:f>
        <x:v>0.0410958904109589</x:v>
      </x:c>
      <x:c r="J28" s="48" t="n">
        <x:f>F28</x:f>
        <x:v>0.05</x:v>
      </x:c>
      <x:c r="K28" s="28" t="str">
        <x:v>Private model hypothesis</x:v>
      </x:c>
      <x:c r="L28" s="28" t="str">
        <x:v>OWNED — CANON</x:v>
      </x:c>
      <x:c r="M28" s="28" t="str"/>
      <x:c r="N28" s="28" t="str">
        <x:v>Luxury atelier hypothesis</x:v>
      </x:c>
    </x:row>
    <x:row r="29">
      <x:c r="A29" s="28" t="str">
        <x:v>Myla London</x:v>
      </x:c>
      <x:c r="B29" s="28" t="str">
        <x:v>Myla London</x:v>
      </x:c>
      <x:c r="C29" s="28" t="str">
        <x:v>Jewelry-box lingerie</x:v>
      </x:c>
      <x:c r="D29" s="47" t="n">
        <x:v>0.04</x:v>
      </x:c>
      <x:c r="E29" s="30" t="n">
        <x:v>1</x:v>
      </x:c>
      <x:c r="F29" s="48" t="n">
        <x:f>D29*E29</x:f>
        <x:v>0.04</x:v>
      </x:c>
      <x:c r="G29" s="47" t="n">
        <x:v>0.012</x:v>
      </x:c>
      <x:c r="H29" s="48" t="n">
        <x:f>G29*E29</x:f>
        <x:v>0.012</x:v>
      </x:c>
      <x:c r="I29" s="48" t="n">
        <x:f>H29*1000/365</x:f>
        <x:v>0.03287671232876712</x:v>
      </x:c>
      <x:c r="J29" s="48" t="n">
        <x:f>F29</x:f>
        <x:v>0.04</x:v>
      </x:c>
      <x:c r="K29" s="28" t="str">
        <x:v>Private model hypothesis</x:v>
      </x:c>
      <x:c r="L29" s="28" t="str">
        <x:v>OWNED — CANON</x:v>
      </x:c>
      <x:c r="M29" s="28" t="str"/>
      <x:c r="N29" s="28" t="str">
        <x:v>Luxury atelier hypothesis</x:v>
      </x:c>
    </x:row>
    <x:row r="30">
      <x:c r="A30" s="28" t="str">
        <x:v>Bluebella</x:v>
      </x:c>
      <x:c r="B30" s="28" t="str">
        <x:v>Bluebella</x:v>
      </x:c>
      <x:c r="C30" s="28" t="str">
        <x:v>Designer lingerie</x:v>
      </x:c>
      <x:c r="D30" s="47" t="n">
        <x:v>0.12</x:v>
      </x:c>
      <x:c r="E30" s="30" t="n">
        <x:v>0.51</x:v>
      </x:c>
      <x:c r="F30" s="48" t="n">
        <x:f>D30*E30</x:f>
        <x:v>0.0612</x:v>
      </x:c>
      <x:c r="G30" s="47" t="n">
        <x:v>0.08</x:v>
      </x:c>
      <x:c r="H30" s="48" t="n">
        <x:f>G30*E30</x:f>
        <x:v>0.0408</x:v>
      </x:c>
      <x:c r="I30" s="48" t="n">
        <x:f>H30*1000/365</x:f>
        <x:v>0.11178082191780823</x:v>
      </x:c>
      <x:c r="J30" s="48" t="n">
        <x:f>F30</x:f>
        <x:v>0.0612</x:v>
      </x:c>
      <x:c r="K30" s="28" t="str">
        <x:v>Private model hypothesis</x:v>
      </x:c>
      <x:c r="L30" s="28" t="str">
        <x:v>OWNED — CANON</x:v>
      </x:c>
      <x:c r="M30" s="28" t="str"/>
      <x:c r="N30" s="28" t="str">
        <x:v>Control</x:v>
      </x:c>
    </x:row>
    <x:row r="31">
      <x:c r="A31" s="28" t="str">
        <x:v>Cosabella</x:v>
      </x:c>
      <x:c r="B31" s="28" t="str">
        <x:v>Cosabella</x:v>
      </x:c>
      <x:c r="C31" s="28" t="str">
        <x:v>Designer lingerie</x:v>
      </x:c>
      <x:c r="D31" s="47" t="n">
        <x:v>0.18</x:v>
      </x:c>
      <x:c r="E31" s="30" t="n">
        <x:v>0.51</x:v>
      </x:c>
      <x:c r="F31" s="48" t="n">
        <x:f>D31*E31</x:f>
        <x:v>0.09179999999999999</x:v>
      </x:c>
      <x:c r="G31" s="47" t="n">
        <x:v>0.12</x:v>
      </x:c>
      <x:c r="H31" s="48" t="n">
        <x:f>G31*E31</x:f>
        <x:v>0.0612</x:v>
      </x:c>
      <x:c r="I31" s="48" t="n">
        <x:f>H31*1000/365</x:f>
        <x:v>0.16767123287671232</x:v>
      </x:c>
      <x:c r="J31" s="48" t="n">
        <x:f>F31</x:f>
        <x:v>0.09179999999999999</x:v>
      </x:c>
      <x:c r="K31" s="28" t="str">
        <x:v>Private model hypothesis</x:v>
      </x:c>
      <x:c r="L31" s="28" t="str">
        <x:v>OWNED — CANON</x:v>
      </x:c>
      <x:c r="M31" s="28" t="str"/>
      <x:c r="N31" s="28" t="str">
        <x:v>Control</x:v>
      </x:c>
    </x:row>
    <x:row r="32">
      <x:c r="A32" s="28" t="str">
        <x:v>Hanky Panky</x:v>
      </x:c>
      <x:c r="B32" s="28" t="str">
        <x:v>Hanky Panky</x:v>
      </x:c>
      <x:c r="C32" s="28" t="str">
        <x:v>Designer lingerie</x:v>
      </x:c>
      <x:c r="D32" s="47" t="n">
        <x:v>0.2</x:v>
      </x:c>
      <x:c r="E32" s="30" t="n">
        <x:v>0.51</x:v>
      </x:c>
      <x:c r="F32" s="48" t="n">
        <x:f>D32*E32</x:f>
        <x:v>0.10200000000000001</x:v>
      </x:c>
      <x:c r="G32" s="47" t="n">
        <x:v>0.15</x:v>
      </x:c>
      <x:c r="H32" s="48" t="n">
        <x:f>G32*E32</x:f>
        <x:v>0.0765</x:v>
      </x:c>
      <x:c r="I32" s="48" t="n">
        <x:f>H32*1000/365</x:f>
        <x:v>0.2095890410958904</x:v>
      </x:c>
      <x:c r="J32" s="48" t="n">
        <x:f>F32</x:f>
        <x:v>0.10200000000000001</x:v>
      </x:c>
      <x:c r="K32" s="28" t="str">
        <x:v>Private model hypothesis</x:v>
      </x:c>
      <x:c r="L32" s="28" t="str">
        <x:v>OWNED — CANON</x:v>
      </x:c>
      <x:c r="M32" s="28" t="str"/>
      <x:c r="N32" s="28" t="str">
        <x:v>Control</x:v>
      </x:c>
    </x:row>
    <x:row r="33">
      <x:c r="A33" s="28" t="str">
        <x:v>Natori</x:v>
      </x:c>
      <x:c r="B33" s="28" t="str">
        <x:v>Natori</x:v>
      </x:c>
      <x:c r="C33" s="28" t="str">
        <x:v>Designer lingerie</x:v>
      </x:c>
      <x:c r="D33" s="47" t="n">
        <x:v>0.25</x:v>
      </x:c>
      <x:c r="E33" s="30" t="n">
        <x:v>0.51</x:v>
      </x:c>
      <x:c r="F33" s="48" t="n">
        <x:f>D33*E33</x:f>
        <x:v>0.1275</x:v>
      </x:c>
      <x:c r="G33" s="47" t="n">
        <x:v>0.2</x:v>
      </x:c>
      <x:c r="H33" s="48" t="n">
        <x:f>G33*E33</x:f>
        <x:v>0.10200000000000001</x:v>
      </x:c>
      <x:c r="I33" s="48" t="n">
        <x:f>H33*1000/365</x:f>
        <x:v>0.27945205479452057</x:v>
      </x:c>
      <x:c r="J33" s="48" t="n">
        <x:f>F33</x:f>
        <x:v>0.1275</x:v>
      </x:c>
      <x:c r="K33" s="28" t="str">
        <x:v>Private model hypothesis</x:v>
      </x:c>
      <x:c r="L33" s="28" t="str">
        <x:v>OWNED — CANON</x:v>
      </x:c>
      <x:c r="M33" s="28" t="str"/>
      <x:c r="N33" s="28" t="str">
        <x:v>Control</x:v>
      </x:c>
    </x:row>
    <x:row r="34">
      <x:c r="A34" s="28" t="str">
        <x:v>Wolford</x:v>
      </x:c>
      <x:c r="B34" s="28" t="str">
        <x:v>Wolford</x:v>
      </x:c>
      <x:c r="C34" s="28" t="str">
        <x:v>Hosiery / bodywear</x:v>
      </x:c>
      <x:c r="D34" s="47" t="n">
        <x:v>0.3</x:v>
      </x:c>
      <x:c r="E34" s="30" t="n">
        <x:v>0.51</x:v>
      </x:c>
      <x:c r="F34" s="48" t="n">
        <x:f>D34*E34</x:f>
        <x:v>0.153</x:v>
      </x:c>
      <x:c r="G34" s="47" t="n">
        <x:v>0.25</x:v>
      </x:c>
      <x:c r="H34" s="48" t="n">
        <x:f>G34*E34</x:f>
        <x:v>0.1275</x:v>
      </x:c>
      <x:c r="I34" s="48" t="n">
        <x:f>H34*1000/365</x:f>
        <x:v>0.3493150684931507</x:v>
      </x:c>
      <x:c r="J34" s="48" t="n">
        <x:f>F34</x:f>
        <x:v>0.153</x:v>
      </x:c>
      <x:c r="K34" s="28" t="str">
        <x:v>Working model hypothesis</x:v>
      </x:c>
      <x:c r="L34" s="28" t="str">
        <x:v>OWNED — CANON</x:v>
      </x:c>
      <x:c r="M34" s="28" t="str"/>
      <x:c r="N34" s="28" t="str">
        <x:v>Hosiery is not optional</x:v>
      </x:c>
    </x:row>
    <x:row r="35">
      <x:c r="A35" s="28" t="str">
        <x:v>Bravissimo</x:v>
      </x:c>
      <x:c r="B35" s="28" t="str">
        <x:v>Bravissimo</x:v>
      </x:c>
      <x:c r="C35" s="28" t="str">
        <x:v>Fit-specialist lingerie</x:v>
      </x:c>
      <x:c r="D35" s="47" t="n">
        <x:v>0.2</x:v>
      </x:c>
      <x:c r="E35" s="30" t="n">
        <x:v>0.51</x:v>
      </x:c>
      <x:c r="F35" s="48" t="n">
        <x:f>D35*E35</x:f>
        <x:v>0.10200000000000001</x:v>
      </x:c>
      <x:c r="G35" s="47" t="n">
        <x:v>0.18</x:v>
      </x:c>
      <x:c r="H35" s="48" t="n">
        <x:f>G35*E35</x:f>
        <x:v>0.09179999999999999</x:v>
      </x:c>
      <x:c r="I35" s="48" t="n">
        <x:f>H35*1000/365</x:f>
        <x:v>0.2515068493150685</x:v>
      </x:c>
      <x:c r="J35" s="48" t="n">
        <x:f>F35</x:f>
        <x:v>0.10200000000000001</x:v>
      </x:c>
      <x:c r="K35" s="28" t="str">
        <x:v>Private model hypothesis</x:v>
      </x:c>
      <x:c r="L35" s="28" t="str">
        <x:v>OWNED — CANON</x:v>
      </x:c>
      <x:c r="M35" s="28" t="str"/>
      <x:c r="N35" s="28" t="str">
        <x:v>Care/fit pillar</x:v>
      </x:c>
    </x:row>
    <x:row r="36">
      <x:c r="A36" s="28" t="str">
        <x:v>Knix</x:v>
      </x:c>
      <x:c r="B36" s="28" t="str">
        <x:v>Knix</x:v>
      </x:c>
      <x:c r="C36" s="28" t="str">
        <x:v>Period / leakproof intimates</x:v>
      </x:c>
      <x:c r="D36" s="47" t="n">
        <x:v>0.5</x:v>
      </x:c>
      <x:c r="E36" s="30" t="n">
        <x:v>0.3</x:v>
      </x:c>
      <x:c r="F36" s="48" t="n">
        <x:f>D36*E36</x:f>
        <x:v>0.15</x:v>
      </x:c>
      <x:c r="G36" s="47" t="n">
        <x:v>0.25</x:v>
      </x:c>
      <x:c r="H36" s="48" t="n">
        <x:f>G36*E36</x:f>
        <x:v>0.075</x:v>
      </x:c>
      <x:c r="I36" s="48" t="n">
        <x:f>H36*1000/365</x:f>
        <x:v>0.2054794520547945</x:v>
      </x:c>
      <x:c r="J36" s="48" t="n">
        <x:f>F36</x:f>
        <x:v>0.15</x:v>
      </x:c>
      <x:c r="K36" s="28" t="str">
        <x:v>Private model hypothesis</x:v>
      </x:c>
      <x:c r="L36" s="28" t="str">
        <x:v>OWNED — CANON</x:v>
      </x:c>
      <x:c r="M36" s="28" t="str"/>
      <x:c r="N36" s="28" t="str">
        <x:v>Technical intimates</x:v>
      </x:c>
    </x:row>
    <x:row r="37">
      <x:c r="A37" s="28" t="str">
        <x:v>ThirdLove</x:v>
      </x:c>
      <x:c r="B37" s="28" t="str">
        <x:v>ThirdLove</x:v>
      </x:c>
      <x:c r="C37" s="28" t="str">
        <x:v>Lingerie</x:v>
      </x:c>
      <x:c r="D37" s="47" t="n">
        <x:v>0.4</x:v>
      </x:c>
      <x:c r="E37" s="30" t="n">
        <x:v>0.3</x:v>
      </x:c>
      <x:c r="F37" s="48" t="n">
        <x:f>D37*E37</x:f>
        <x:v>0.12</x:v>
      </x:c>
      <x:c r="G37" s="47" t="n">
        <x:v>0.25</x:v>
      </x:c>
      <x:c r="H37" s="48" t="n">
        <x:f>G37*E37</x:f>
        <x:v>0.075</x:v>
      </x:c>
      <x:c r="I37" s="48" t="n">
        <x:f>H37*1000/365</x:f>
        <x:v>0.2054794520547945</x:v>
      </x:c>
      <x:c r="J37" s="48" t="n">
        <x:f>F37</x:f>
        <x:v>0.12</x:v>
      </x:c>
      <x:c r="K37" s="28" t="str">
        <x:v>Private model hypothesis</x:v>
      </x:c>
      <x:c r="L37" s="28" t="str">
        <x:v>OWNED — CANON</x:v>
      </x:c>
      <x:c r="M37" s="28" t="str"/>
      <x:c r="N37" s="28" t="str">
        <x:v>Fit/data pillar</x:v>
      </x:c>
    </x:row>
    <x:row r="38">
      <x:c r="A38" s="28" t="str">
        <x:v>L'Oréal</x:v>
      </x:c>
      <x:c r="B38" s="28" t="str">
        <x:v>40-brand global beauty platform</x:v>
      </x:c>
      <x:c r="C38" s="28" t="str">
        <x:v>Beauty artillery</x:v>
      </x:c>
      <x:c r="D38" s="47" t="n">
        <x:v>235.62</x:v>
      </x:c>
      <x:c r="E38" s="30" t="n">
        <x:v>0.3</x:v>
      </x:c>
      <x:c r="F38" s="48" t="n">
        <x:f>D38*E38</x:f>
        <x:v>70.68599999999999</x:v>
      </x:c>
      <x:c r="G38" s="47" t="n">
        <x:v>51</x:v>
      </x:c>
      <x:c r="H38" s="48" t="n">
        <x:f>G38*E38</x:f>
        <x:v>15.299999999999999</x:v>
      </x:c>
      <x:c r="I38" s="48" t="n">
        <x:f>H38*1000/365</x:f>
        <x:v>41.91780821917808</x:v>
      </x:c>
      <x:c r="J38" s="48" t="n">
        <x:f>F38</x:f>
        <x:v>70.68599999999999</x:v>
      </x:c>
      <x:c r="K38" s="28" t="str">
        <x:v>Public Sep-2026 market cap; revenue working USD conversion from €44.05B</x:v>
      </x:c>
      <x:c r="L38" s="28" t="str">
        <x:v>OWNED — CANON</x:v>
      </x:c>
      <x:c r="M38" s="28" t="str">
        <x:v>https://companiesmarketcap.com/l-oreal/marketcap/</x:v>
      </x:c>
      <x:c r="N38" s="28" t="str">
        <x:v>The manicured finger in the enormous beauty pot</x:v>
      </x:c>
    </x:row>
    <x:row r="39">
      <x:c r="A39" s="28" t="str">
        <x:v>Ulta Beauty</x:v>
      </x:c>
      <x:c r="B39" s="28" t="str">
        <x:v>Ulta + Space NK acquisition exposure</x:v>
      </x:c>
      <x:c r="C39" s="28" t="str">
        <x:v>Beauty retail</x:v>
      </x:c>
      <x:c r="D39" s="47" t="n">
        <x:v>23.16</x:v>
      </x:c>
      <x:c r="E39" s="30" t="n">
        <x:v>0.3</x:v>
      </x:c>
      <x:c r="F39" s="48" t="n">
        <x:f>D39*E39</x:f>
        <x:v>6.9479999999999995</x:v>
      </x:c>
      <x:c r="G39" s="47" t="n">
        <x:v>12.4</x:v>
      </x:c>
      <x:c r="H39" s="48" t="n">
        <x:f>G39*E39</x:f>
        <x:v>3.7199999999999998</x:v>
      </x:c>
      <x:c r="I39" s="48" t="n">
        <x:f>H39*1000/365</x:f>
        <x:v>10.191780821917806</x:v>
      </x:c>
      <x:c r="J39" s="48" t="n">
        <x:f>F39</x:f>
        <x:v>6.9479999999999995</x:v>
      </x:c>
      <x:c r="K39" s="28" t="str">
        <x:v>Public Sep-2026 market cap; revenue annualized from 1H26 working model</x:v>
      </x:c>
      <x:c r="L39" s="28" t="str">
        <x:v>OWNED — CANON</x:v>
      </x:c>
      <x:c r="M39" s="28" t="str">
        <x:v>https://companiesmarketcap.com/ulta-beauty/marketcap/</x:v>
      </x:c>
      <x:c r="N39" s="28" t="str">
        <x:v>Strategic retail block</x:v>
      </x:c>
    </x:row>
    <x:row r="40">
      <x:c r="A40" s="28" t="str">
        <x:v>e.l.f. Beauty</x:v>
      </x:c>
      <x:c r="B40" s="28" t="str">
        <x:v>e.l.f., rhode, Naturium and portfolio</x:v>
      </x:c>
      <x:c r="C40" s="28" t="str">
        <x:v>Beauty</x:v>
      </x:c>
      <x:c r="D40" s="47" t="n">
        <x:v>5.9</x:v>
      </x:c>
      <x:c r="E40" s="30" t="n">
        <x:v>0.3</x:v>
      </x:c>
      <x:c r="F40" s="48" t="n">
        <x:f>D40*E40</x:f>
        <x:v>1.77</x:v>
      </x:c>
      <x:c r="G40" s="47" t="n">
        <x:v>1.84</x:v>
      </x:c>
      <x:c r="H40" s="48" t="n">
        <x:f>G40*E40</x:f>
        <x:v>0.552</x:v>
      </x:c>
      <x:c r="I40" s="48" t="n">
        <x:f>H40*1000/365</x:f>
        <x:v>1.5123287671232877</x:v>
      </x:c>
      <x:c r="J40" s="48" t="n">
        <x:f>F40</x:f>
        <x:v>1.77</x:v>
      </x:c>
      <x:c r="K40" s="28" t="str">
        <x:v>Public Sep-2026 market cap; FY27 midpoint outlook working revenue</x:v>
      </x:c>
      <x:c r="L40" s="28" t="str">
        <x:v>OWNED — CANON</x:v>
      </x:c>
      <x:c r="M40" s="28" t="str">
        <x:v>https://companiesmarketcap.com/elf-cosmetics/marketcap/</x:v>
      </x:c>
      <x:c r="N40" s="28" t="str">
        <x:v>Fast-growth beauty block</x:v>
      </x:c>
    </x:row>
    <x:row r="43">
      <x:c r="A43" s="52" t="str">
        <x:v>PROGRAM TOTALS</x:v>
      </x:c>
      <x:c r="B43" s="52"/>
      <x:c r="C43" s="52"/>
      <x:c r="D43" s="52"/>
      <x:c r="E43" s="52"/>
      <x:c r="F43" s="52"/>
    </x:row>
    <x:row r="44">
      <x:c r="A44" t="str">
        <x:v>Targets / groups</x:v>
      </x:c>
      <x:c r="B44" t="n">
        <x:f>COUNTA(A4:A40)</x:f>
        <x:v>37</x:v>
      </x:c>
    </x:row>
    <x:row r="45">
      <x:c r="A45" t="str">
        <x:v>Attributable equity added ($B)</x:v>
      </x:c>
      <x:c r="B45" s="44" t="n">
        <x:f>SUM(F4:F40)</x:f>
        <x:v>94.24389999999998</x:v>
      </x:c>
    </x:row>
    <x:row r="46">
      <x:c r="A46" t="str">
        <x:v>Hat Fund deployed ($B)</x:v>
      </x:c>
      <x:c r="B46" s="44" t="n">
        <x:f>SUM(J4:J40)</x:f>
        <x:v>94.24389999999998</x:v>
      </x:c>
    </x:row>
    <x:row r="47">
      <x:c r="A47" t="str">
        <x:v>Hat Fund remaining ($B)</x:v>
      </x:c>
      <x:c r="B47" s="44" t="n">
        <x:f>400-B46</x:f>
        <x:v>305.7561</x:v>
      </x:c>
    </x:row>
    <x:row r="48">
      <x:c r="A48" t="str">
        <x:v>Annual attributable revenue ($B)</x:v>
      </x:c>
      <x:c r="B48" s="44" t="n">
        <x:f>SUM(H4:H40)</x:f>
        <x:v>29.917499999999997</x:v>
      </x:c>
    </x:row>
    <x:row r="49">
      <x:c r="A49" t="str">
        <x:v>Daily attributable revenue ($M)</x:v>
      </x:c>
      <x:c r="B49" s="44" t="n">
        <x:f>SUM(I4:I40)</x:f>
        <x:v>81.96575342465754</x:v>
      </x:c>
    </x:row>
    <x:row r="50">
      <x:c r="A50" t="str">
        <x:v>Fashion Empire midpoint after program ($B)</x:v>
      </x:c>
      <x:c r="B50" s="44" t="n">
        <x:f>Summary!B5+B45</x:f>
        <x:v>608.4782999999998</x:v>
      </x:c>
    </x:row>
  </x:sheetData>
  <x:mergeCells>
    <x:mergeCell ref="A1:N1"/>
    <x:mergeCell ref="A43:F43"/>
    <x:mergeCell ref="A2:N2"/>
  </x:mergeCells>
  <x:pageMargins left="0.7" right="0.7" top="0.75" bottom="0.75" header="0.3" footer="0.3"/>
  <x:tableParts count="1">
    <x:tablePart xmlns:r="http://schemas.openxmlformats.org/officeDocument/2006/relationships" r:id="Reff5b9045cea4e66"/>
  </x:tableParts>
</x:worksheet>
</file>

<file path=xl/worksheets/sheet5.xml><?xml version="1.0" encoding="utf-8"?>
<x:worksheet xmlns:x="http://schemas.openxmlformats.org/spreadsheetml/2006/main">
  <x:sheetFormatPr defaultRowHeight="15"/>
  <x:cols>
    <x:col min="1" max="1" width="23" hidden="0" customWidth="1"/>
    <x:col min="2" max="2" width="34" hidden="0" customWidth="1"/>
    <x:col min="3" max="3" width="19" hidden="0" customWidth="1"/>
    <x:col min="4" max="4" width="14" hidden="0" customWidth="1"/>
    <x:col min="5" max="5" width="11" hidden="0" customWidth="1"/>
    <x:col min="6" max="6" width="16" hidden="0" customWidth="1"/>
    <x:col min="7" max="7" width="15" hidden="0" customWidth="1"/>
    <x:col min="8" max="8" width="18" hidden="0" customWidth="1"/>
    <x:col min="9" max="9" width="18" hidden="0" customWidth="1"/>
    <x:col min="10" max="10" width="15" hidden="0" customWidth="1"/>
    <x:col min="11" max="11" width="28" hidden="0" customWidth="1"/>
    <x:col min="12" max="12" width="14" hidden="0" customWidth="1"/>
    <x:col min="13" max="13" width="34" hidden="0" customWidth="1"/>
    <x:col min="14" max="14" width="34" hidden="0" customWidth="1"/>
  </x:cols>
  <x:sheetData>
    <x:row r="1">
      <x:c r="A1" s="64" t="str">
        <x:v>HATS, BAGS &amp; SHINY THINGS — RETROACTIVE CANON ACQUISITION CAMPAIGN</x:v>
      </x:c>
      <x:c r="B1" s="64"/>
      <x:c r="C1" s="64"/>
      <x:c r="D1" s="64"/>
      <x:c r="E1" s="64"/>
      <x:c r="F1" s="64"/>
      <x:c r="G1" s="64"/>
      <x:c r="H1" s="64"/>
      <x:c r="I1" s="64"/>
      <x:c r="J1" s="64"/>
      <x:c r="K1" s="64"/>
      <x:c r="L1" s="64"/>
      <x:c r="M1" s="64"/>
      <x:c r="N1" s="64"/>
    </x:row>
    <x:row r="2">
      <x:c r="A2" s="67" t="str">
        <x:v>CANON — CURRENT BASELINE: Athena executed these stakes pre-reveal. The timeline grenade is already in the crater. Existing parent holdings are excluded to prevent double counting.</x:v>
      </x:c>
      <x:c r="B2" s="67"/>
      <x:c r="C2" s="67"/>
      <x:c r="D2" s="67"/>
      <x:c r="E2" s="67"/>
      <x:c r="F2" s="67"/>
      <x:c r="G2" s="67"/>
      <x:c r="H2" s="67"/>
      <x:c r="I2" s="67"/>
      <x:c r="J2" s="67"/>
      <x:c r="K2" s="67"/>
      <x:c r="L2" s="67"/>
      <x:c r="M2" s="67"/>
      <x:c r="N2" s="67"/>
    </x:row>
    <x:row r="3">
      <x:c r="A3" s="69" t="str">
        <x:v>Target / Group</x:v>
      </x:c>
      <x:c r="B3" s="69" t="str">
        <x:v>Brands / reason</x:v>
      </x:c>
      <x:c r="C3" s="69" t="str">
        <x:v>Pot</x:v>
      </x:c>
      <x:c r="D3" s="69" t="str">
        <x:v>Valuation / EV ($B)</x:v>
      </x:c>
      <x:c r="E3" s="69" t="str">
        <x:v>Jim stake %</x:v>
      </x:c>
      <x:c r="F3" s="69" t="str">
        <x:v>Attributable value ($B)</x:v>
      </x:c>
      <x:c r="G3" s="69" t="str">
        <x:v>Annual revenue ($B)</x:v>
      </x:c>
      <x:c r="H3" s="69" t="str">
        <x:v>Jim-attributable revenue ($B)</x:v>
      </x:c>
      <x:c r="I3" s="69" t="str">
        <x:v>Daily attributable revenue ($M)</x:v>
      </x:c>
      <x:c r="J3" s="69" t="str">
        <x:v>Hat Fund used ($B)</x:v>
      </x:c>
      <x:c r="K3" s="69" t="str">
        <x:v>Basis</x:v>
      </x:c>
      <x:c r="L3" s="69" t="str">
        <x:v>Status</x:v>
      </x:c>
      <x:c r="M3" s="69" t="str">
        <x:v>Source</x:v>
      </x:c>
      <x:c r="N3" s="69" t="str">
        <x:v>Notes</x:v>
      </x:c>
    </x:row>
    <x:row r="4">
      <x:c r="A4" s="28" t="str">
        <x:v>Pandora</x:v>
      </x:c>
      <x:c r="B4" s="28" t="str">
        <x:v>Pandora</x:v>
      </x:c>
      <x:c r="C4" s="28" t="str">
        <x:v>Jewelry scale</x:v>
      </x:c>
      <x:c r="D4" s="47" t="n">
        <x:v>9.39</x:v>
      </x:c>
      <x:c r="E4" s="30" t="n">
        <x:v>0.51</x:v>
      </x:c>
      <x:c r="F4" s="48" t="n">
        <x:f>D4*E4</x:f>
        <x:v>4.7889</x:v>
      </x:c>
      <x:c r="G4" s="47" t="n">
        <x:v>4.7</x:v>
      </x:c>
      <x:c r="H4" s="48" t="n">
        <x:f>G4*E4</x:f>
        <x:v>2.3970000000000002</x:v>
      </x:c>
      <x:c r="I4" s="48" t="n">
        <x:f>H4*1000/365</x:f>
        <x:v>6.567123287671234</x:v>
      </x:c>
      <x:c r="J4" s="48" t="n">
        <x:f>F4</x:f>
        <x:v>4.7889</x:v>
      </x:c>
      <x:c r="K4" s="28" t="str">
        <x:v>Sep-2026 public market cap; revenue working model</x:v>
      </x:c>
      <x:c r="L4" s="28" t="str">
        <x:v>OWNED — CANON</x:v>
      </x:c>
      <x:c r="M4" s="28" t="str">
        <x:v>https://companiesmarketcap.com/pandora/marketcap/</x:v>
      </x:c>
      <x:c r="N4" s="28" t="str">
        <x:v>Control; mass-luxury jewelry scale</x:v>
      </x:c>
    </x:row>
    <x:row r="5">
      <x:c r="A5" s="28" t="str">
        <x:v>Signet Jewelers</x:v>
      </x:c>
      <x:c r="B5" s="28" t="str">
        <x:v>Kay, Zales, Jared, Diamonds Direct, Blue Nile, James Allen</x:v>
      </x:c>
      <x:c r="C5" s="28" t="str">
        <x:v>Jewelry retail scale</x:v>
      </x:c>
      <x:c r="D5" s="47" t="n">
        <x:v>3.92</x:v>
      </x:c>
      <x:c r="E5" s="30" t="n">
        <x:v>0.51</x:v>
      </x:c>
      <x:c r="F5" s="48" t="n">
        <x:f>D5*E5</x:f>
        <x:v>1.9992</x:v>
      </x:c>
      <x:c r="G5" s="47" t="n">
        <x:v>6.8</x:v>
      </x:c>
      <x:c r="H5" s="48" t="n">
        <x:f>G5*E5</x:f>
        <x:v>3.468</x:v>
      </x:c>
      <x:c r="I5" s="48" t="n">
        <x:f>H5*1000/365</x:f>
        <x:v>9.501369863013698</x:v>
      </x:c>
      <x:c r="J5" s="48" t="n">
        <x:f>F5</x:f>
        <x:v>1.9992</x:v>
      </x:c>
      <x:c r="K5" s="28" t="str">
        <x:v>Sep-2026 public market cap; FY guidance midpoint</x:v>
      </x:c>
      <x:c r="L5" s="28" t="str">
        <x:v>OWNED — CANON</x:v>
      </x:c>
      <x:c r="M5" s="28" t="str">
        <x:v>https://companiesmarketcap.com/signet-jewelers/marketcap/</x:v>
      </x:c>
      <x:c r="N5" s="28" t="str">
        <x:v>Control</x:v>
      </x:c>
    </x:row>
    <x:row r="6">
      <x:c r="A6" s="28" t="str">
        <x:v>Swatch Group</x:v>
      </x:c>
      <x:c r="B6" s="28" t="str">
        <x:v>Harry Winston, Omega, Breguet, Blancpain, Longines, Swatch + watches</x:v>
      </x:c>
      <x:c r="C6" s="28" t="str">
        <x:v>Jewelry / watches</x:v>
      </x:c>
      <x:c r="D6" s="47" t="n">
        <x:v>11.47</x:v>
      </x:c>
      <x:c r="E6" s="30" t="n">
        <x:v>0.3</x:v>
      </x:c>
      <x:c r="F6" s="48" t="n">
        <x:f>D6*E6</x:f>
        <x:v>3.4410000000000003</x:v>
      </x:c>
      <x:c r="G6" s="47" t="n">
        <x:v>7.2</x:v>
      </x:c>
      <x:c r="H6" s="48" t="n">
        <x:f>G6*E6</x:f>
        <x:v>2.16</x:v>
      </x:c>
      <x:c r="I6" s="48" t="n">
        <x:f>H6*1000/365</x:f>
        <x:v>5.917808219178082</x:v>
      </x:c>
      <x:c r="J6" s="48" t="n">
        <x:f>F6</x:f>
        <x:v>3.4410000000000003</x:v>
      </x:c>
      <x:c r="K6" s="28" t="str">
        <x:v>Sep-2026 public market cap; revenue working model</x:v>
      </x:c>
      <x:c r="L6" s="28" t="str">
        <x:v>OWNED — CANON</x:v>
      </x:c>
      <x:c r="M6" s="28" t="str">
        <x:v>https://companiesmarketcap.com/swatch/marketcap/</x:v>
      </x:c>
      <x:c r="N6" s="28" t="str">
        <x:v>Strategic block; Harry Winston is inside Swatch, not separately counted</x:v>
      </x:c>
    </x:row>
    <x:row r="7">
      <x:c r="A7" s="28" t="str">
        <x:v>Swarovski</x:v>
      </x:c>
      <x:c r="B7" s="28" t="str">
        <x:v>Swarovski crystal/jewelry/accessories</x:v>
      </x:c>
      <x:c r="C7" s="28" t="str">
        <x:v>Jewelry / crystal</x:v>
      </x:c>
      <x:c r="D7" s="47" t="n">
        <x:v>8</x:v>
      </x:c>
      <x:c r="E7" s="30" t="n">
        <x:v>0.3</x:v>
      </x:c>
      <x:c r="F7" s="48" t="n">
        <x:f>D7*E7</x:f>
        <x:v>2.4</x:v>
      </x:c>
      <x:c r="G7" s="47" t="n">
        <x:v>2.2</x:v>
      </x:c>
      <x:c r="H7" s="48" t="n">
        <x:f>G7*E7</x:f>
        <x:v>0.66</x:v>
      </x:c>
      <x:c r="I7" s="48" t="n">
        <x:f>H7*1000/365</x:f>
        <x:v>1.8082191780821917</x:v>
      </x:c>
      <x:c r="J7" s="48" t="n">
        <x:f>F7</x:f>
        <x:v>2.4</x:v>
      </x:c>
      <x:c r="K7" s="28" t="str">
        <x:v>Private model hypothesis</x:v>
      </x:c>
      <x:c r="L7" s="28" t="str">
        <x:v>OWNED — CANON</x:v>
      </x:c>
      <x:c r="M7" s="28" t="str"/>
      <x:c r="N7" s="28" t="str">
        <x:v>Strategic family-company block</x:v>
      </x:c>
    </x:row>
    <x:row r="8">
      <x:c r="A8" s="28" t="str">
        <x:v>Chopard</x:v>
      </x:c>
      <x:c r="B8" s="28" t="str">
        <x:v>Chopard jewelry &amp; watches</x:v>
      </x:c>
      <x:c r="C8" s="28" t="str">
        <x:v>High jewelry</x:v>
      </x:c>
      <x:c r="D8" s="47" t="n">
        <x:v>5</x:v>
      </x:c>
      <x:c r="E8" s="30" t="n">
        <x:v>0.3</x:v>
      </x:c>
      <x:c r="F8" s="48" t="n">
        <x:f>D8*E8</x:f>
        <x:v>1.5</x:v>
      </x:c>
      <x:c r="G8" s="47" t="n">
        <x:v>1.2</x:v>
      </x:c>
      <x:c r="H8" s="48" t="n">
        <x:f>G8*E8</x:f>
        <x:v>0.36</x:v>
      </x:c>
      <x:c r="I8" s="48" t="n">
        <x:f>H8*1000/365</x:f>
        <x:v>0.9863013698630136</x:v>
      </x:c>
      <x:c r="J8" s="48" t="n">
        <x:f>F8</x:f>
        <x:v>1.5</x:v>
      </x:c>
      <x:c r="K8" s="28" t="str">
        <x:v>Private model hypothesis</x:v>
      </x:c>
      <x:c r="L8" s="28" t="str">
        <x:v>OWNED — CANON</x:v>
      </x:c>
      <x:c r="M8" s="28" t="str"/>
      <x:c r="N8" s="28" t="str">
        <x:v>Strategic family-company block</x:v>
      </x:c>
    </x:row>
    <x:row r="9">
      <x:c r="A9" s="28" t="str">
        <x:v>Graff</x:v>
      </x:c>
      <x:c r="B9" s="28" t="str">
        <x:v>Graff high jewelry</x:v>
      </x:c>
      <x:c r="C9" s="28" t="str">
        <x:v>High jewelry</x:v>
      </x:c>
      <x:c r="D9" s="47" t="n">
        <x:v>5</x:v>
      </x:c>
      <x:c r="E9" s="30" t="n">
        <x:v>0.3</x:v>
      </x:c>
      <x:c r="F9" s="48" t="n">
        <x:f>D9*E9</x:f>
        <x:v>1.5</x:v>
      </x:c>
      <x:c r="G9" s="47" t="n">
        <x:v>1</x:v>
      </x:c>
      <x:c r="H9" s="48" t="n">
        <x:f>G9*E9</x:f>
        <x:v>0.3</x:v>
      </x:c>
      <x:c r="I9" s="48" t="n">
        <x:f>H9*1000/365</x:f>
        <x:v>0.821917808219178</x:v>
      </x:c>
      <x:c r="J9" s="48" t="n">
        <x:f>F9</x:f>
        <x:v>1.5</x:v>
      </x:c>
      <x:c r="K9" s="28" t="str">
        <x:v>Private model hypothesis</x:v>
      </x:c>
      <x:c r="L9" s="28" t="str">
        <x:v>OWNED — CANON</x:v>
      </x:c>
      <x:c r="M9" s="28" t="str"/>
      <x:c r="N9" s="28" t="str">
        <x:v>Strategic block</x:v>
      </x:c>
    </x:row>
    <x:row r="10">
      <x:c r="A10" s="28" t="str">
        <x:v>David Yurman</x:v>
      </x:c>
      <x:c r="B10" s="28" t="str">
        <x:v>David Yurman</x:v>
      </x:c>
      <x:c r="C10" s="28" t="str">
        <x:v>Fine jewelry</x:v>
      </x:c>
      <x:c r="D10" s="47" t="n">
        <x:v>3</x:v>
      </x:c>
      <x:c r="E10" s="30" t="n">
        <x:v>0.3</x:v>
      </x:c>
      <x:c r="F10" s="48" t="n">
        <x:f>D10*E10</x:f>
        <x:v>0.8999999999999999</x:v>
      </x:c>
      <x:c r="G10" s="47" t="n">
        <x:v>0.8</x:v>
      </x:c>
      <x:c r="H10" s="48" t="n">
        <x:f>G10*E10</x:f>
        <x:v>0.24</x:v>
      </x:c>
      <x:c r="I10" s="48" t="n">
        <x:f>H10*1000/365</x:f>
        <x:v>0.6575342465753424</x:v>
      </x:c>
      <x:c r="J10" s="48" t="n">
        <x:f>F10</x:f>
        <x:v>0.8999999999999999</x:v>
      </x:c>
      <x:c r="K10" s="28" t="str">
        <x:v>Private model hypothesis</x:v>
      </x:c>
      <x:c r="L10" s="28" t="str">
        <x:v>OWNED — CANON</x:v>
      </x:c>
      <x:c r="M10" s="28" t="str"/>
      <x:c r="N10" s="28" t="str">
        <x:v>Strategic founder/family block</x:v>
      </x:c>
    </x:row>
    <x:row r="11">
      <x:c r="A11" s="28" t="str">
        <x:v>Mikimoto</x:v>
      </x:c>
      <x:c r="B11" s="28" t="str">
        <x:v>Mikimoto pearls &amp; jewelry</x:v>
      </x:c>
      <x:c r="C11" s="28" t="str">
        <x:v>Fine jewelry</x:v>
      </x:c>
      <x:c r="D11" s="47" t="n">
        <x:v>1.5</x:v>
      </x:c>
      <x:c r="E11" s="30" t="n">
        <x:v>0.3</x:v>
      </x:c>
      <x:c r="F11" s="48" t="n">
        <x:f>D11*E11</x:f>
        <x:v>0.44999999999999996</x:v>
      </x:c>
      <x:c r="G11" s="47" t="n">
        <x:v>0.35</x:v>
      </x:c>
      <x:c r="H11" s="48" t="n">
        <x:f>G11*E11</x:f>
        <x:v>0.105</x:v>
      </x:c>
      <x:c r="I11" s="48" t="n">
        <x:f>H11*1000/365</x:f>
        <x:v>0.2876712328767123</x:v>
      </x:c>
      <x:c r="J11" s="48" t="n">
        <x:f>F11</x:f>
        <x:v>0.44999999999999996</x:v>
      </x:c>
      <x:c r="K11" s="28" t="str">
        <x:v>Private model hypothesis; official 2025 sales anchor ¥51.4B</x:v>
      </x:c>
      <x:c r="L11" s="28" t="str">
        <x:v>OWNED — CANON</x:v>
      </x:c>
      <x:c r="M11" s="28" t="str">
        <x:v>https://recruit.mikimoto.com/company/outline.html</x:v>
      </x:c>
      <x:c r="N11" s="28" t="str">
        <x:v>Pearls are mandatory</x:v>
      </x:c>
    </x:row>
    <x:row r="12">
      <x:c r="A12" s="28" t="str">
        <x:v>Messika</x:v>
      </x:c>
      <x:c r="B12" s="28" t="str">
        <x:v>Messika</x:v>
      </x:c>
      <x:c r="C12" s="28" t="str">
        <x:v>Fine jewelry</x:v>
      </x:c>
      <x:c r="D12" s="47" t="n">
        <x:v>1.5</x:v>
      </x:c>
      <x:c r="E12" s="30" t="n">
        <x:v>0.3</x:v>
      </x:c>
      <x:c r="F12" s="48" t="n">
        <x:f>D12*E12</x:f>
        <x:v>0.44999999999999996</x:v>
      </x:c>
      <x:c r="G12" s="47" t="n">
        <x:v>0.45</x:v>
      </x:c>
      <x:c r="H12" s="48" t="n">
        <x:f>G12*E12</x:f>
        <x:v>0.135</x:v>
      </x:c>
      <x:c r="I12" s="48" t="n">
        <x:f>H12*1000/365</x:f>
        <x:v>0.3698630136986301</x:v>
      </x:c>
      <x:c r="J12" s="48" t="n">
        <x:f>F12</x:f>
        <x:v>0.44999999999999996</x:v>
      </x:c>
      <x:c r="K12" s="28" t="str">
        <x:v>Private model hypothesis</x:v>
      </x:c>
      <x:c r="L12" s="28" t="str">
        <x:v>OWNED — CANON</x:v>
      </x:c>
      <x:c r="M12" s="28" t="str"/>
      <x:c r="N12" s="28" t="str">
        <x:v>Strategic block</x:v>
      </x:c>
    </x:row>
    <x:row r="13">
      <x:c r="A13" s="28" t="str">
        <x:v>Damiani Group</x:v>
      </x:c>
      <x:c r="B13" s="28" t="str">
        <x:v>Damiani and jewelry portfolio</x:v>
      </x:c>
      <x:c r="C13" s="28" t="str">
        <x:v>Fine jewelry</x:v>
      </x:c>
      <x:c r="D13" s="47" t="n">
        <x:v>0.8</x:v>
      </x:c>
      <x:c r="E13" s="30" t="n">
        <x:v>0.51</x:v>
      </x:c>
      <x:c r="F13" s="48" t="n">
        <x:f>D13*E13</x:f>
        <x:v>0.40800000000000003</x:v>
      </x:c>
      <x:c r="G13" s="47" t="n">
        <x:v>0.35</x:v>
      </x:c>
      <x:c r="H13" s="48" t="n">
        <x:f>G13*E13</x:f>
        <x:v>0.1785</x:v>
      </x:c>
      <x:c r="I13" s="48" t="n">
        <x:f>H13*1000/365</x:f>
        <x:v>0.48904109589041095</x:v>
      </x:c>
      <x:c r="J13" s="48" t="n">
        <x:f>F13</x:f>
        <x:v>0.40800000000000003</x:v>
      </x:c>
      <x:c r="K13" s="28" t="str">
        <x:v>Private model hypothesis</x:v>
      </x:c>
      <x:c r="L13" s="28" t="str">
        <x:v>OWNED — CANON</x:v>
      </x:c>
      <x:c r="M13" s="28" t="str"/>
      <x:c r="N13" s="28" t="str">
        <x:v>Control</x:v>
      </x:c>
    </x:row>
    <x:row r="14">
      <x:c r="A14" s="28" t="str">
        <x:v>Boodles</x:v>
      </x:c>
      <x:c r="B14" s="28" t="str">
        <x:v>Boodles</x:v>
      </x:c>
      <x:c r="C14" s="28" t="str">
        <x:v>Fine jewelry</x:v>
      </x:c>
      <x:c r="D14" s="47" t="n">
        <x:v>0.6</x:v>
      </x:c>
      <x:c r="E14" s="30" t="n">
        <x:v>0.51</x:v>
      </x:c>
      <x:c r="F14" s="48" t="n">
        <x:f>D14*E14</x:f>
        <x:v>0.306</x:v>
      </x:c>
      <x:c r="G14" s="47" t="n">
        <x:v>0.25</x:v>
      </x:c>
      <x:c r="H14" s="48" t="n">
        <x:f>G14*E14</x:f>
        <x:v>0.1275</x:v>
      </x:c>
      <x:c r="I14" s="48" t="n">
        <x:f>H14*1000/365</x:f>
        <x:v>0.3493150684931507</x:v>
      </x:c>
      <x:c r="J14" s="48" t="n">
        <x:f>F14</x:f>
        <x:v>0.306</x:v>
      </x:c>
      <x:c r="K14" s="28" t="str">
        <x:v>Private model hypothesis</x:v>
      </x:c>
      <x:c r="L14" s="28" t="str">
        <x:v>OWNED — CANON</x:v>
      </x:c>
      <x:c r="M14" s="28" t="str"/>
      <x:c r="N14" s="28" t="str">
        <x:v>Control</x:v>
      </x:c>
    </x:row>
    <x:row r="15">
      <x:c r="A15" s="28" t="str">
        <x:v>De Beers Jewellers / retail stake</x:v>
      </x:c>
      <x:c r="B15" s="28" t="str">
        <x:v>Consumer jewelry business exposure, not mines</x:v>
      </x:c>
      <x:c r="C15" s="28" t="str">
        <x:v>Diamonds / jewelry</x:v>
      </x:c>
      <x:c r="D15" s="47" t="n">
        <x:v>1.5</x:v>
      </x:c>
      <x:c r="E15" s="30" t="n">
        <x:v>0.3</x:v>
      </x:c>
      <x:c r="F15" s="48" t="n">
        <x:f>D15*E15</x:f>
        <x:v>0.44999999999999996</x:v>
      </x:c>
      <x:c r="G15" s="47" t="n">
        <x:v>0.6</x:v>
      </x:c>
      <x:c r="H15" s="48" t="n">
        <x:f>G15*E15</x:f>
        <x:v>0.18</x:v>
      </x:c>
      <x:c r="I15" s="48" t="n">
        <x:f>H15*1000/365</x:f>
        <x:v>0.4931506849315068</x:v>
      </x:c>
      <x:c r="J15" s="48" t="n">
        <x:f>F15</x:f>
        <x:v>0.44999999999999996</x:v>
      </x:c>
      <x:c r="K15" s="28" t="str">
        <x:v>Private carve-out hypothesis</x:v>
      </x:c>
      <x:c r="L15" s="28" t="str">
        <x:v>OWNED — CANON</x:v>
      </x:c>
      <x:c r="M15" s="28" t="str">
        <x:v>https://www.debeersgroup.com/news-insights/latest-group-news/2026/de-beers-group-sets-out-portfolio-and-organisational-actions-to-support-long-term-value-creation</x:v>
      </x:c>
      <x:c r="N15" s="28" t="str">
        <x:v>Retail/jewelry exposure only; mining excluded</x:v>
      </x:c>
    </x:row>
    <x:row r="16">
      <x:c r="A16" s="28" t="str">
        <x:v>Longchamp</x:v>
      </x:c>
      <x:c r="B16" s="28" t="str">
        <x:v>Longchamp handbags/leather goods</x:v>
      </x:c>
      <x:c r="C16" s="28" t="str">
        <x:v>Handbags</x:v>
      </x:c>
      <x:c r="D16" s="47" t="n">
        <x:v>4</x:v>
      </x:c>
      <x:c r="E16" s="30" t="n">
        <x:v>0.3</x:v>
      </x:c>
      <x:c r="F16" s="48" t="n">
        <x:f>D16*E16</x:f>
        <x:v>1.2</x:v>
      </x:c>
      <x:c r="G16" s="47" t="n">
        <x:v>2</x:v>
      </x:c>
      <x:c r="H16" s="48" t="n">
        <x:f>G16*E16</x:f>
        <x:v>0.6</x:v>
      </x:c>
      <x:c r="I16" s="48" t="n">
        <x:f>H16*1000/365</x:f>
        <x:v>1.643835616438356</x:v>
      </x:c>
      <x:c r="J16" s="48" t="n">
        <x:f>F16</x:f>
        <x:v>1.2</x:v>
      </x:c>
      <x:c r="K16" s="28" t="str">
        <x:v>Private model hypothesis</x:v>
      </x:c>
      <x:c r="L16" s="28" t="str">
        <x:v>OWNED — CANON</x:v>
      </x:c>
      <x:c r="M16" s="28" t="str"/>
      <x:c r="N16" s="28" t="str">
        <x:v>Strategic family-company block</x:v>
      </x:c>
    </x:row>
    <x:row r="17">
      <x:c r="A17" s="28" t="str">
        <x:v>Polène</x:v>
      </x:c>
      <x:c r="B17" s="28" t="str">
        <x:v>Polène handbags/leather goods</x:v>
      </x:c>
      <x:c r="C17" s="28" t="str">
        <x:v>Handbags</x:v>
      </x:c>
      <x:c r="D17" s="47" t="n">
        <x:v>2</x:v>
      </x:c>
      <x:c r="E17" s="30" t="n">
        <x:v>0.3</x:v>
      </x:c>
      <x:c r="F17" s="48" t="n">
        <x:f>D17*E17</x:f>
        <x:v>0.6</x:v>
      </x:c>
      <x:c r="G17" s="47" t="n">
        <x:v>0.65</x:v>
      </x:c>
      <x:c r="H17" s="48" t="n">
        <x:f>G17*E17</x:f>
        <x:v>0.195</x:v>
      </x:c>
      <x:c r="I17" s="48" t="n">
        <x:f>H17*1000/365</x:f>
        <x:v>0.5342465753424658</x:v>
      </x:c>
      <x:c r="J17" s="48" t="n">
        <x:f>F17</x:f>
        <x:v>0.6</x:v>
      </x:c>
      <x:c r="K17" s="28" t="str">
        <x:v>Private model hypothesis</x:v>
      </x:c>
      <x:c r="L17" s="28" t="str">
        <x:v>OWNED — CANON</x:v>
      </x:c>
      <x:c r="M17" s="28" t="str"/>
      <x:c r="N17" s="28" t="str">
        <x:v>Strategic block</x:v>
      </x:c>
    </x:row>
    <x:row r="18">
      <x:c r="A18" s="28" t="str">
        <x:v>Mulberry</x:v>
      </x:c>
      <x:c r="B18" s="28" t="str">
        <x:v>Mulberry handbags/leather goods</x:v>
      </x:c>
      <x:c r="C18" s="28" t="str">
        <x:v>Handbags</x:v>
      </x:c>
      <x:c r="D18" s="47" t="n">
        <x:v>0.6</x:v>
      </x:c>
      <x:c r="E18" s="30" t="n">
        <x:v>0.51</x:v>
      </x:c>
      <x:c r="F18" s="48" t="n">
        <x:f>D18*E18</x:f>
        <x:v>0.306</x:v>
      </x:c>
      <x:c r="G18" s="47" t="n">
        <x:v>0.2</x:v>
      </x:c>
      <x:c r="H18" s="48" t="n">
        <x:f>G18*E18</x:f>
        <x:v>0.10200000000000001</x:v>
      </x:c>
      <x:c r="I18" s="48" t="n">
        <x:f>H18*1000/365</x:f>
        <x:v>0.27945205479452057</x:v>
      </x:c>
      <x:c r="J18" s="48" t="n">
        <x:f>F18</x:f>
        <x:v>0.306</x:v>
      </x:c>
      <x:c r="K18" s="28" t="str">
        <x:v>Private/takeover-era model hypothesis</x:v>
      </x:c>
      <x:c r="L18" s="28" t="str">
        <x:v>OWNED — CANON</x:v>
      </x:c>
      <x:c r="M18" s="28" t="str"/>
      <x:c r="N18" s="28" t="str">
        <x:v>Control</x:v>
      </x:c>
    </x:row>
    <x:row r="19">
      <x:c r="A19" s="28" t="str">
        <x:v>Valextra</x:v>
      </x:c>
      <x:c r="B19" s="28" t="str">
        <x:v>Valextra leather goods</x:v>
      </x:c>
      <x:c r="C19" s="28" t="str">
        <x:v>Handbags</x:v>
      </x:c>
      <x:c r="D19" s="47" t="n">
        <x:v>0.5</x:v>
      </x:c>
      <x:c r="E19" s="30" t="n">
        <x:v>0.51</x:v>
      </x:c>
      <x:c r="F19" s="48" t="n">
        <x:f>D19*E19</x:f>
        <x:v>0.255</x:v>
      </x:c>
      <x:c r="G19" s="47" t="n">
        <x:v>0.15</x:v>
      </x:c>
      <x:c r="H19" s="48" t="n">
        <x:f>G19*E19</x:f>
        <x:v>0.0765</x:v>
      </x:c>
      <x:c r="I19" s="48" t="n">
        <x:f>H19*1000/365</x:f>
        <x:v>0.2095890410958904</x:v>
      </x:c>
      <x:c r="J19" s="48" t="n">
        <x:f>F19</x:f>
        <x:v>0.255</x:v>
      </x:c>
      <x:c r="K19" s="28" t="str">
        <x:v>Private model hypothesis</x:v>
      </x:c>
      <x:c r="L19" s="28" t="str">
        <x:v>OWNED — CANON</x:v>
      </x:c>
      <x:c r="M19" s="28" t="str"/>
      <x:c r="N19" s="28" t="str">
        <x:v>Control</x:v>
      </x:c>
    </x:row>
    <x:row r="20">
      <x:c r="A20" s="28" t="str">
        <x:v>Strathberry</x:v>
      </x:c>
      <x:c r="B20" s="28" t="str">
        <x:v>Strathberry</x:v>
      </x:c>
      <x:c r="C20" s="28" t="str">
        <x:v>Handbags</x:v>
      </x:c>
      <x:c r="D20" s="47" t="n">
        <x:v>0.3</x:v>
      </x:c>
      <x:c r="E20" s="30" t="n">
        <x:v>0.51</x:v>
      </x:c>
      <x:c r="F20" s="48" t="n">
        <x:f>D20*E20</x:f>
        <x:v>0.153</x:v>
      </x:c>
      <x:c r="G20" s="47" t="n">
        <x:v>0.1</x:v>
      </x:c>
      <x:c r="H20" s="48" t="n">
        <x:f>G20*E20</x:f>
        <x:v>0.051000000000000004</x:v>
      </x:c>
      <x:c r="I20" s="48" t="n">
        <x:f>H20*1000/365</x:f>
        <x:v>0.13972602739726028</x:v>
      </x:c>
      <x:c r="J20" s="48" t="n">
        <x:f>F20</x:f>
        <x:v>0.153</x:v>
      </x:c>
      <x:c r="K20" s="28" t="str">
        <x:v>Private model hypothesis</x:v>
      </x:c>
      <x:c r="L20" s="28" t="str">
        <x:v>OWNED — CANON</x:v>
      </x:c>
      <x:c r="M20" s="28" t="str"/>
      <x:c r="N20" s="28" t="str">
        <x:v>Control</x:v>
      </x:c>
    </x:row>
    <x:row r="21">
      <x:c r="A21" s="28" t="str">
        <x:v>Aspinal of London</x:v>
      </x:c>
      <x:c r="B21" s="28" t="str">
        <x:v>Aspinal bags/accessories</x:v>
      </x:c>
      <x:c r="C21" s="28" t="str">
        <x:v>Handbags</x:v>
      </x:c>
      <x:c r="D21" s="47" t="n">
        <x:v>0.25</x:v>
      </x:c>
      <x:c r="E21" s="30" t="n">
        <x:v>0.51</x:v>
      </x:c>
      <x:c r="F21" s="48" t="n">
        <x:f>D21*E21</x:f>
        <x:v>0.1275</x:v>
      </x:c>
      <x:c r="G21" s="47" t="n">
        <x:v>0.1</x:v>
      </x:c>
      <x:c r="H21" s="48" t="n">
        <x:f>G21*E21</x:f>
        <x:v>0.051000000000000004</x:v>
      </x:c>
      <x:c r="I21" s="48" t="n">
        <x:f>H21*1000/365</x:f>
        <x:v>0.13972602739726028</x:v>
      </x:c>
      <x:c r="J21" s="48" t="n">
        <x:f>F21</x:f>
        <x:v>0.1275</x:v>
      </x:c>
      <x:c r="K21" s="28" t="str">
        <x:v>Private model hypothesis</x:v>
      </x:c>
      <x:c r="L21" s="28" t="str">
        <x:v>OWNED — CANON</x:v>
      </x:c>
      <x:c r="M21" s="28" t="str"/>
      <x:c r="N21" s="28" t="str">
        <x:v>Control</x:v>
      </x:c>
    </x:row>
    <x:row r="22">
      <x:c r="A22" s="28" t="str">
        <x:v>Smythson</x:v>
      </x:c>
      <x:c r="B22" s="28" t="str">
        <x:v>Smythson leather goods/stationery</x:v>
      </x:c>
      <x:c r="C22" s="28" t="str">
        <x:v>Leather accessories</x:v>
      </x:c>
      <x:c r="D22" s="47" t="n">
        <x:v>0.3</x:v>
      </x:c>
      <x:c r="E22" s="30" t="n">
        <x:v>0.51</x:v>
      </x:c>
      <x:c r="F22" s="48" t="n">
        <x:f>D22*E22</x:f>
        <x:v>0.153</x:v>
      </x:c>
      <x:c r="G22" s="47" t="n">
        <x:v>0.12</x:v>
      </x:c>
      <x:c r="H22" s="48" t="n">
        <x:f>G22*E22</x:f>
        <x:v>0.0612</x:v>
      </x:c>
      <x:c r="I22" s="48" t="n">
        <x:f>H22*1000/365</x:f>
        <x:v>0.16767123287671232</x:v>
      </x:c>
      <x:c r="J22" s="48" t="n">
        <x:f>F22</x:f>
        <x:v>0.153</x:v>
      </x:c>
      <x:c r="K22" s="28" t="str">
        <x:v>Private model hypothesis</x:v>
      </x:c>
      <x:c r="L22" s="28" t="str">
        <x:v>OWNED — CANON</x:v>
      </x:c>
      <x:c r="M22" s="28" t="str"/>
      <x:c r="N22" s="28" t="str">
        <x:v>Control</x:v>
      </x:c>
    </x:row>
    <x:row r="23">
      <x:c r="A23" s="28" t="str">
        <x:v>Judith Leiber</x:v>
      </x:c>
      <x:c r="B23" s="28" t="str">
        <x:v>Judith Leiber crystal minaudières</x:v>
      </x:c>
      <x:c r="C23" s="28" t="str">
        <x:v>Evening bags</x:v>
      </x:c>
      <x:c r="D23" s="47" t="n">
        <x:v>0.25</x:v>
      </x:c>
      <x:c r="E23" s="30" t="n">
        <x:v>1</x:v>
      </x:c>
      <x:c r="F23" s="48" t="n">
        <x:f>D23*E23</x:f>
        <x:v>0.25</x:v>
      </x:c>
      <x:c r="G23" s="47" t="n">
        <x:v>0.1</x:v>
      </x:c>
      <x:c r="H23" s="48" t="n">
        <x:f>G23*E23</x:f>
        <x:v>0.1</x:v>
      </x:c>
      <x:c r="I23" s="48" t="n">
        <x:f>H23*1000/365</x:f>
        <x:v>0.273972602739726</x:v>
      </x:c>
      <x:c r="J23" s="48" t="n">
        <x:f>F23</x:f>
        <x:v>0.25</x:v>
      </x:c>
      <x:c r="K23" s="28" t="str">
        <x:v>Private model hypothesis</x:v>
      </x:c>
      <x:c r="L23" s="28" t="str">
        <x:v>OWNED — CANON</x:v>
      </x:c>
      <x:c r="M23" s="28" t="str"/>
      <x:c r="N23" s="28" t="str">
        <x:v>Tiny shiny purses: complete ownership</x:v>
      </x:c>
    </x:row>
    <x:row r="24">
      <x:c r="A24" s="28" t="str">
        <x:v>Anya Hindmarch</x:v>
      </x:c>
      <x:c r="B24" s="28" t="str">
        <x:v>Anya Hindmarch</x:v>
      </x:c>
      <x:c r="C24" s="28" t="str">
        <x:v>Handbags</x:v>
      </x:c>
      <x:c r="D24" s="47" t="n">
        <x:v>0.3</x:v>
      </x:c>
      <x:c r="E24" s="30" t="n">
        <x:v>0.51</x:v>
      </x:c>
      <x:c r="F24" s="48" t="n">
        <x:f>D24*E24</x:f>
        <x:v>0.153</x:v>
      </x:c>
      <x:c r="G24" s="47" t="n">
        <x:v>0.12</x:v>
      </x:c>
      <x:c r="H24" s="48" t="n">
        <x:f>G24*E24</x:f>
        <x:v>0.0612</x:v>
      </x:c>
      <x:c r="I24" s="48" t="n">
        <x:f>H24*1000/365</x:f>
        <x:v>0.16767123287671232</x:v>
      </x:c>
      <x:c r="J24" s="48" t="n">
        <x:f>F24</x:f>
        <x:v>0.153</x:v>
      </x:c>
      <x:c r="K24" s="28" t="str">
        <x:v>Private model hypothesis</x:v>
      </x:c>
      <x:c r="L24" s="28" t="str">
        <x:v>OWNED — CANON</x:v>
      </x:c>
      <x:c r="M24" s="28" t="str"/>
      <x:c r="N24" s="28" t="str">
        <x:v>Control</x:v>
      </x:c>
    </x:row>
    <x:row r="25">
      <x:c r="A25" s="28" t="str">
        <x:v>Métier</x:v>
      </x:c>
      <x:c r="B25" s="28" t="str">
        <x:v>Métier London</x:v>
      </x:c>
      <x:c r="C25" s="28" t="str">
        <x:v>Handbags</x:v>
      </x:c>
      <x:c r="D25" s="47" t="n">
        <x:v>0.15</x:v>
      </x:c>
      <x:c r="E25" s="30" t="n">
        <x:v>1</x:v>
      </x:c>
      <x:c r="F25" s="48" t="n">
        <x:f>D25*E25</x:f>
        <x:v>0.15</x:v>
      </x:c>
      <x:c r="G25" s="47" t="n">
        <x:v>0.05</x:v>
      </x:c>
      <x:c r="H25" s="48" t="n">
        <x:f>G25*E25</x:f>
        <x:v>0.05</x:v>
      </x:c>
      <x:c r="I25" s="48" t="n">
        <x:f>H25*1000/365</x:f>
        <x:v>0.136986301369863</x:v>
      </x:c>
      <x:c r="J25" s="48" t="n">
        <x:f>F25</x:f>
        <x:v>0.15</x:v>
      </x:c>
      <x:c r="K25" s="28" t="str">
        <x:v>Private model hypothesis</x:v>
      </x:c>
      <x:c r="L25" s="28" t="str">
        <x:v>OWNED — CANON</x:v>
      </x:c>
      <x:c r="M25" s="28" t="str"/>
      <x:c r="N25" s="28" t="str">
        <x:v>Luxury atelier</x:v>
      </x:c>
    </x:row>
    <x:row r="26">
      <x:c r="A26" s="28" t="str">
        <x:v>Borsalino</x:v>
      </x:c>
      <x:c r="B26" s="28" t="str">
        <x:v>Borsalino hats</x:v>
      </x:c>
      <x:c r="C26" s="28" t="str">
        <x:v>Hats</x:v>
      </x:c>
      <x:c r="D26" s="47" t="n">
        <x:v>0.2</x:v>
      </x:c>
      <x:c r="E26" s="30" t="n">
        <x:v>1</x:v>
      </x:c>
      <x:c r="F26" s="48" t="n">
        <x:f>D26*E26</x:f>
        <x:v>0.2</x:v>
      </x:c>
      <x:c r="G26" s="47" t="n">
        <x:v>0.08</x:v>
      </x:c>
      <x:c r="H26" s="48" t="n">
        <x:f>G26*E26</x:f>
        <x:v>0.08</x:v>
      </x:c>
      <x:c r="I26" s="48" t="n">
        <x:f>H26*1000/365</x:f>
        <x:v>0.2191780821917808</x:v>
      </x:c>
      <x:c r="J26" s="48" t="n">
        <x:f>F26</x:f>
        <x:v>0.2</x:v>
      </x:c>
      <x:c r="K26" s="28" t="str">
        <x:v>Private model hypothesis</x:v>
      </x:c>
      <x:c r="L26" s="28" t="str">
        <x:v>OWNED — CANON</x:v>
      </x:c>
      <x:c r="M26" s="28" t="str"/>
      <x:c r="N26" s="28" t="str">
        <x:v>The Hat Fund finally buys hats</x:v>
      </x:c>
    </x:row>
    <x:row r="27">
      <x:c r="A27" s="28" t="str">
        <x:v>Lock &amp; Co. Hatters</x:v>
      </x:c>
      <x:c r="B27" s="28" t="str">
        <x:v>Historic London hatter</x:v>
      </x:c>
      <x:c r="C27" s="28" t="str">
        <x:v>Hats</x:v>
      </x:c>
      <x:c r="D27" s="47" t="n">
        <x:v>0.1</x:v>
      </x:c>
      <x:c r="E27" s="30" t="n">
        <x:v>1</x:v>
      </x:c>
      <x:c r="F27" s="48" t="n">
        <x:f>D27*E27</x:f>
        <x:v>0.1</x:v>
      </x:c>
      <x:c r="G27" s="47" t="n">
        <x:v>0.03</x:v>
      </x:c>
      <x:c r="H27" s="48" t="n">
        <x:f>G27*E27</x:f>
        <x:v>0.03</x:v>
      </x:c>
      <x:c r="I27" s="48" t="n">
        <x:f>H27*1000/365</x:f>
        <x:v>0.0821917808219178</x:v>
      </x:c>
      <x:c r="J27" s="48" t="n">
        <x:f>F27</x:f>
        <x:v>0.1</x:v>
      </x:c>
      <x:c r="K27" s="28" t="str">
        <x:v>Private model hypothesis</x:v>
      </x:c>
      <x:c r="L27" s="28" t="str">
        <x:v>OWNED — CANON</x:v>
      </x:c>
      <x:c r="M27" s="28" t="str"/>
      <x:c r="N27" s="28" t="str">
        <x:v>Actual hats</x:v>
      </x:c>
    </x:row>
    <x:row r="28">
      <x:c r="A28" s="28" t="str">
        <x:v>Philip Treacy</x:v>
      </x:c>
      <x:c r="B28" s="28" t="str">
        <x:v>Couture millinery</x:v>
      </x:c>
      <x:c r="C28" s="28" t="str">
        <x:v>Hats</x:v>
      </x:c>
      <x:c r="D28" s="47" t="n">
        <x:v>0.08</x:v>
      </x:c>
      <x:c r="E28" s="30" t="n">
        <x:v>1</x:v>
      </x:c>
      <x:c r="F28" s="48" t="n">
        <x:f>D28*E28</x:f>
        <x:v>0.08</x:v>
      </x:c>
      <x:c r="G28" s="47" t="n">
        <x:v>0.02</x:v>
      </x:c>
      <x:c r="H28" s="48" t="n">
        <x:f>G28*E28</x:f>
        <x:v>0.02</x:v>
      </x:c>
      <x:c r="I28" s="48" t="n">
        <x:f>H28*1000/365</x:f>
        <x:v>0.0547945205479452</x:v>
      </x:c>
      <x:c r="J28" s="48" t="n">
        <x:f>F28</x:f>
        <x:v>0.08</x:v>
      </x:c>
      <x:c r="K28" s="28" t="str">
        <x:v>Private model hypothesis</x:v>
      </x:c>
      <x:c r="L28" s="28" t="str">
        <x:v>OWNED — CANON</x:v>
      </x:c>
      <x:c r="M28" s="28" t="str"/>
      <x:c r="N28" s="28" t="str">
        <x:v>Actual fabulous hats</x:v>
      </x:c>
    </x:row>
    <x:row r="29">
      <x:c r="A29" s="28" t="str">
        <x:v>Stephen Jones Millinery</x:v>
      </x:c>
      <x:c r="B29" s="28" t="str">
        <x:v>Couture millinery</x:v>
      </x:c>
      <x:c r="C29" s="28" t="str">
        <x:v>Hats</x:v>
      </x:c>
      <x:c r="D29" s="47" t="n">
        <x:v>0.08</x:v>
      </x:c>
      <x:c r="E29" s="30" t="n">
        <x:v>1</x:v>
      </x:c>
      <x:c r="F29" s="48" t="n">
        <x:f>D29*E29</x:f>
        <x:v>0.08</x:v>
      </x:c>
      <x:c r="G29" s="47" t="n">
        <x:v>0.02</x:v>
      </x:c>
      <x:c r="H29" s="48" t="n">
        <x:f>G29*E29</x:f>
        <x:v>0.02</x:v>
      </x:c>
      <x:c r="I29" s="48" t="n">
        <x:f>H29*1000/365</x:f>
        <x:v>0.0547945205479452</x:v>
      </x:c>
      <x:c r="J29" s="48" t="n">
        <x:f>F29</x:f>
        <x:v>0.08</x:v>
      </x:c>
      <x:c r="K29" s="28" t="str">
        <x:v>Private model hypothesis</x:v>
      </x:c>
      <x:c r="L29" s="28" t="str">
        <x:v>OWNED — CANON</x:v>
      </x:c>
      <x:c r="M29" s="28" t="str"/>
      <x:c r="N29" s="28" t="str">
        <x:v>Actual fabulous hats</x:v>
      </x:c>
    </x:row>
    <x:row r="30">
      <x:c r="A30" s="28" t="str">
        <x:v>Maison Fabre</x:v>
      </x:c>
      <x:c r="B30" s="28" t="str">
        <x:v>Luxury gloves</x:v>
      </x:c>
      <x:c r="C30" s="28" t="str">
        <x:v>Gloves</x:v>
      </x:c>
      <x:c r="D30" s="47" t="n">
        <x:v>0.08</x:v>
      </x:c>
      <x:c r="E30" s="30" t="n">
        <x:v>1</x:v>
      </x:c>
      <x:c r="F30" s="48" t="n">
        <x:f>D30*E30</x:f>
        <x:v>0.08</x:v>
      </x:c>
      <x:c r="G30" s="47" t="n">
        <x:v>0.025</x:v>
      </x:c>
      <x:c r="H30" s="48" t="n">
        <x:f>G30*E30</x:f>
        <x:v>0.025</x:v>
      </x:c>
      <x:c r="I30" s="48" t="n">
        <x:f>H30*1000/365</x:f>
        <x:v>0.0684931506849315</x:v>
      </x:c>
      <x:c r="J30" s="48" t="n">
        <x:f>F30</x:f>
        <x:v>0.08</x:v>
      </x:c>
      <x:c r="K30" s="28" t="str">
        <x:v>Private model hypothesis</x:v>
      </x:c>
      <x:c r="L30" s="28" t="str">
        <x:v>OWNED — CANON</x:v>
      </x:c>
      <x:c r="M30" s="28" t="str"/>
      <x:c r="N30" s="28" t="str">
        <x:v>Manicured fingers require gloves</x:v>
      </x:c>
    </x:row>
    <x:row r="31">
      <x:c r="A31" s="28" t="str">
        <x:v>Falke</x:v>
      </x:c>
      <x:c r="B31" s="28" t="str">
        <x:v>Hosiery/socks/bodywear</x:v>
      </x:c>
      <x:c r="C31" s="28" t="str">
        <x:v>Wearable accessories</x:v>
      </x:c>
      <x:c r="D31" s="47" t="n">
        <x:v>1</x:v>
      </x:c>
      <x:c r="E31" s="30" t="n">
        <x:v>0.3</x:v>
      </x:c>
      <x:c r="F31" s="48" t="n">
        <x:f>D31*E31</x:f>
        <x:v>0.3</x:v>
      </x:c>
      <x:c r="G31" s="47" t="n">
        <x:v>0.5</x:v>
      </x:c>
      <x:c r="H31" s="48" t="n">
        <x:f>G31*E31</x:f>
        <x:v>0.15</x:v>
      </x:c>
      <x:c r="I31" s="48" t="n">
        <x:f>H31*1000/365</x:f>
        <x:v>0.410958904109589</x:v>
      </x:c>
      <x:c r="J31" s="48" t="n">
        <x:f>F31</x:f>
        <x:v>0.3</x:v>
      </x:c>
      <x:c r="K31" s="28" t="str">
        <x:v>Private model hypothesis</x:v>
      </x:c>
      <x:c r="L31" s="28" t="str">
        <x:v>OWNED — CANON</x:v>
      </x:c>
      <x:c r="M31" s="28" t="str"/>
      <x:c r="N31" s="28" t="str">
        <x:v>Strategic block</x:v>
      </x:c>
    </x:row>
    <x:row r="32">
      <x:c r="A32" s="28" t="str">
        <x:v>Linda Farrow</x:v>
      </x:c>
      <x:c r="B32" s="28" t="str">
        <x:v>Luxury eyewear</x:v>
      </x:c>
      <x:c r="C32" s="28" t="str">
        <x:v>Eyewear</x:v>
      </x:c>
      <x:c r="D32" s="47" t="n">
        <x:v>0.2</x:v>
      </x:c>
      <x:c r="E32" s="30" t="n">
        <x:v>0.51</x:v>
      </x:c>
      <x:c r="F32" s="48" t="n">
        <x:f>D32*E32</x:f>
        <x:v>0.10200000000000001</x:v>
      </x:c>
      <x:c r="G32" s="47" t="n">
        <x:v>0.08</x:v>
      </x:c>
      <x:c r="H32" s="48" t="n">
        <x:f>G32*E32</x:f>
        <x:v>0.0408</x:v>
      </x:c>
      <x:c r="I32" s="48" t="n">
        <x:f>H32*1000/365</x:f>
        <x:v>0.11178082191780823</x:v>
      </x:c>
      <x:c r="J32" s="48" t="n">
        <x:f>F32</x:f>
        <x:v>0.10200000000000001</x:v>
      </x:c>
      <x:c r="K32" s="28" t="str">
        <x:v>Private model hypothesis</x:v>
      </x:c>
      <x:c r="L32" s="28" t="str">
        <x:v>OWNED — CANON</x:v>
      </x:c>
      <x:c r="M32" s="28" t="str"/>
      <x:c r="N32" s="28" t="str">
        <x:v>Control</x:v>
      </x:c>
    </x:row>
    <x:row r="33">
      <x:c r="A33" s="28" t="str">
        <x:v>Gentle Monster / IICOMBINED</x:v>
      </x:c>
      <x:c r="B33" s="28" t="str">
        <x:v>Eyewear/fashion accessories</x:v>
      </x:c>
      <x:c r="C33" s="28" t="str">
        <x:v>Eyewear</x:v>
      </x:c>
      <x:c r="D33" s="47" t="n">
        <x:v>3</x:v>
      </x:c>
      <x:c r="E33" s="30" t="n">
        <x:v>0.3</x:v>
      </x:c>
      <x:c r="F33" s="48" t="n">
        <x:f>D33*E33</x:f>
        <x:v>0.8999999999999999</x:v>
      </x:c>
      <x:c r="G33" s="47" t="n">
        <x:v>0.7</x:v>
      </x:c>
      <x:c r="H33" s="48" t="n">
        <x:f>G33*E33</x:f>
        <x:v>0.21</x:v>
      </x:c>
      <x:c r="I33" s="48" t="n">
        <x:f>H33*1000/365</x:f>
        <x:v>0.5753424657534246</x:v>
      </x:c>
      <x:c r="J33" s="48" t="n">
        <x:f>F33</x:f>
        <x:v>0.8999999999999999</x:v>
      </x:c>
      <x:c r="K33" s="28" t="str">
        <x:v>Private model hypothesis</x:v>
      </x:c>
      <x:c r="L33" s="28" t="str">
        <x:v>OWNED — CANON</x:v>
      </x:c>
      <x:c r="M33" s="28" t="str"/>
      <x:c r="N33" s="28" t="str">
        <x:v>Strategic block</x:v>
      </x:c>
    </x:row>
    <x:row r="34">
      <x:c r="A34" s="28" t="str">
        <x:v>Lele Sadoughi</x:v>
      </x:c>
      <x:c r="B34" s="28" t="str">
        <x:v>Headbands/jewelry/accessories</x:v>
      </x:c>
      <x:c r="C34" s="28" t="str">
        <x:v>Accessories</x:v>
      </x:c>
      <x:c r="D34" s="47" t="n">
        <x:v>0.12</x:v>
      </x:c>
      <x:c r="E34" s="30" t="n">
        <x:v>1</x:v>
      </x:c>
      <x:c r="F34" s="48" t="n">
        <x:f>D34*E34</x:f>
        <x:v>0.12</x:v>
      </x:c>
      <x:c r="G34" s="47" t="n">
        <x:v>0.05</x:v>
      </x:c>
      <x:c r="H34" s="48" t="n">
        <x:f>G34*E34</x:f>
        <x:v>0.05</x:v>
      </x:c>
      <x:c r="I34" s="48" t="n">
        <x:f>H34*1000/365</x:f>
        <x:v>0.136986301369863</x:v>
      </x:c>
      <x:c r="J34" s="48" t="n">
        <x:f>F34</x:f>
        <x:v>0.12</x:v>
      </x:c>
      <x:c r="K34" s="28" t="str">
        <x:v>Private model hypothesis</x:v>
      </x:c>
      <x:c r="L34" s="28" t="str">
        <x:v>OWNED — CANON</x:v>
      </x:c>
      <x:c r="M34" s="28" t="str"/>
      <x:c r="N34" s="28" t="str">
        <x:v>Headbands count as hat-adjacent</x:v>
      </x:c>
    </x:row>
    <x:row r="35">
      <x:c r="A35" s="28" t="str">
        <x:v>Jennifer Behr</x:v>
      </x:c>
      <x:c r="B35" s="28" t="str">
        <x:v>Hair accessories/jewelry</x:v>
      </x:c>
      <x:c r="C35" s="28" t="str">
        <x:v>Accessories</x:v>
      </x:c>
      <x:c r="D35" s="47" t="n">
        <x:v>0.1</x:v>
      </x:c>
      <x:c r="E35" s="30" t="n">
        <x:v>1</x:v>
      </x:c>
      <x:c r="F35" s="48" t="n">
        <x:f>D35*E35</x:f>
        <x:v>0.1</x:v>
      </x:c>
      <x:c r="G35" s="47" t="n">
        <x:v>0.04</x:v>
      </x:c>
      <x:c r="H35" s="48" t="n">
        <x:f>G35*E35</x:f>
        <x:v>0.04</x:v>
      </x:c>
      <x:c r="I35" s="48" t="n">
        <x:f>H35*1000/365</x:f>
        <x:v>0.1095890410958904</x:v>
      </x:c>
      <x:c r="J35" s="48" t="n">
        <x:f>F35</x:f>
        <x:v>0.1</x:v>
      </x:c>
      <x:c r="K35" s="28" t="str">
        <x:v>Private model hypothesis</x:v>
      </x:c>
      <x:c r="L35" s="28" t="str">
        <x:v>OWNED — CANON</x:v>
      </x:c>
      <x:c r="M35" s="28" t="str"/>
      <x:c r="N35" s="28" t="str">
        <x:v>Hair ornament pot</x:v>
      </x:c>
    </x:row>
    <x:row r="36">
      <x:c r="A36" s="28" t="str">
        <x:v>Alexis Bittar</x:v>
      </x:c>
      <x:c r="B36" s="28" t="str">
        <x:v>Jewelry/accessories</x:v>
      </x:c>
      <x:c r="C36" s="28" t="str">
        <x:v>Accessories</x:v>
      </x:c>
      <x:c r="D36" s="47" t="n">
        <x:v>0.15</x:v>
      </x:c>
      <x:c r="E36" s="30" t="n">
        <x:v>1</x:v>
      </x:c>
      <x:c r="F36" s="48" t="n">
        <x:f>D36*E36</x:f>
        <x:v>0.15</x:v>
      </x:c>
      <x:c r="G36" s="47" t="n">
        <x:v>0.06</x:v>
      </x:c>
      <x:c r="H36" s="48" t="n">
        <x:f>G36*E36</x:f>
        <x:v>0.06</x:v>
      </x:c>
      <x:c r="I36" s="48" t="n">
        <x:f>H36*1000/365</x:f>
        <x:v>0.1643835616438356</x:v>
      </x:c>
      <x:c r="J36" s="48" t="n">
        <x:f>F36</x:f>
        <x:v>0.15</x:v>
      </x:c>
      <x:c r="K36" s="28" t="str">
        <x:v>Private model hypothesis</x:v>
      </x:c>
      <x:c r="L36" s="28" t="str">
        <x:v>OWNED — CANON</x:v>
      </x:c>
      <x:c r="M36" s="28" t="str"/>
      <x:c r="N36" s="28" t="str">
        <x:v>Complete ownership</x:v>
      </x:c>
    </x:row>
    <x:row r="37">
      <x:c r="A37" s="28" t="str">
        <x:v>Monica Vinader</x:v>
      </x:c>
      <x:c r="B37" s="28" t="str">
        <x:v>Jewelry</x:v>
      </x:c>
      <x:c r="C37" s="28" t="str">
        <x:v>Fine jewelry</x:v>
      </x:c>
      <x:c r="D37" s="47" t="n">
        <x:v>0.4</x:v>
      </x:c>
      <x:c r="E37" s="30" t="n">
        <x:v>0.51</x:v>
      </x:c>
      <x:c r="F37" s="48" t="n">
        <x:f>D37*E37</x:f>
        <x:v>0.20400000000000001</x:v>
      </x:c>
      <x:c r="G37" s="47" t="n">
        <x:v>0.2</x:v>
      </x:c>
      <x:c r="H37" s="48" t="n">
        <x:f>G37*E37</x:f>
        <x:v>0.10200000000000001</x:v>
      </x:c>
      <x:c r="I37" s="48" t="n">
        <x:f>H37*1000/365</x:f>
        <x:v>0.27945205479452057</x:v>
      </x:c>
      <x:c r="J37" s="48" t="n">
        <x:f>F37</x:f>
        <x:v>0.20400000000000001</x:v>
      </x:c>
      <x:c r="K37" s="28" t="str">
        <x:v>Private model hypothesis</x:v>
      </x:c>
      <x:c r="L37" s="28" t="str">
        <x:v>OWNED — CANON</x:v>
      </x:c>
      <x:c r="M37" s="28" t="str"/>
      <x:c r="N37" s="28" t="str">
        <x:v>Control</x:v>
      </x:c>
    </x:row>
    <x:row r="38">
      <x:c r="A38" s="28" t="str">
        <x:v>Missoma</x:v>
      </x:c>
      <x:c r="B38" s="28" t="str">
        <x:v>Jewelry</x:v>
      </x:c>
      <x:c r="C38" s="28" t="str">
        <x:v>Fine jewelry</x:v>
      </x:c>
      <x:c r="D38" s="47" t="n">
        <x:v>0.35</x:v>
      </x:c>
      <x:c r="E38" s="30" t="n">
        <x:v>0.51</x:v>
      </x:c>
      <x:c r="F38" s="48" t="n">
        <x:f>D38*E38</x:f>
        <x:v>0.1785</x:v>
      </x:c>
      <x:c r="G38" s="47" t="n">
        <x:v>0.18</x:v>
      </x:c>
      <x:c r="H38" s="48" t="n">
        <x:f>G38*E38</x:f>
        <x:v>0.09179999999999999</x:v>
      </x:c>
      <x:c r="I38" s="48" t="n">
        <x:f>H38*1000/365</x:f>
        <x:v>0.2515068493150685</x:v>
      </x:c>
      <x:c r="J38" s="48" t="n">
        <x:f>F38</x:f>
        <x:v>0.1785</x:v>
      </x:c>
      <x:c r="K38" s="28" t="str">
        <x:v>Private model hypothesis</x:v>
      </x:c>
      <x:c r="L38" s="28" t="str">
        <x:v>OWNED — CANON</x:v>
      </x:c>
      <x:c r="M38" s="28" t="str"/>
      <x:c r="N38" s="28" t="str">
        <x:v>Control</x:v>
      </x:c>
    </x:row>
    <x:row r="39">
      <x:c r="A39" s="28" t="str">
        <x:v>Catbird</x:v>
      </x:c>
      <x:c r="B39" s="28" t="str">
        <x:v>Jewelry</x:v>
      </x:c>
      <x:c r="C39" s="28" t="str">
        <x:v>Fine jewelry</x:v>
      </x:c>
      <x:c r="D39" s="47" t="n">
        <x:v>0.2</x:v>
      </x:c>
      <x:c r="E39" s="30" t="n">
        <x:v>1</x:v>
      </x:c>
      <x:c r="F39" s="48" t="n">
        <x:f>D39*E39</x:f>
        <x:v>0.2</x:v>
      </x:c>
      <x:c r="G39" s="47" t="n">
        <x:v>0.1</x:v>
      </x:c>
      <x:c r="H39" s="48" t="n">
        <x:f>G39*E39</x:f>
        <x:v>0.1</x:v>
      </x:c>
      <x:c r="I39" s="48" t="n">
        <x:f>H39*1000/365</x:f>
        <x:v>0.273972602739726</x:v>
      </x:c>
      <x:c r="J39" s="48" t="n">
        <x:f>F39</x:f>
        <x:v>0.2</x:v>
      </x:c>
      <x:c r="K39" s="28" t="str">
        <x:v>Private model hypothesis</x:v>
      </x:c>
      <x:c r="L39" s="28" t="str">
        <x:v>OWNED — CANON</x:v>
      </x:c>
      <x:c r="M39" s="28" t="str"/>
      <x:c r="N39" s="28" t="str">
        <x:v>Complete ownership</x:v>
      </x:c>
    </x:row>
    <x:row r="40">
      <x:c r="A40" s="28" t="str">
        <x:v>Jennifer Fisher</x:v>
      </x:c>
      <x:c r="B40" s="28" t="str">
        <x:v>Jewelry</x:v>
      </x:c>
      <x:c r="C40" s="28" t="str">
        <x:v>Fine jewelry</x:v>
      </x:c>
      <x:c r="D40" s="47" t="n">
        <x:v>0.15</x:v>
      </x:c>
      <x:c r="E40" s="30" t="n">
        <x:v>1</x:v>
      </x:c>
      <x:c r="F40" s="48" t="n">
        <x:f>D40*E40</x:f>
        <x:v>0.15</x:v>
      </x:c>
      <x:c r="G40" s="47" t="n">
        <x:v>0.06</x:v>
      </x:c>
      <x:c r="H40" s="48" t="n">
        <x:f>G40*E40</x:f>
        <x:v>0.06</x:v>
      </x:c>
      <x:c r="I40" s="48" t="n">
        <x:f>H40*1000/365</x:f>
        <x:v>0.1643835616438356</x:v>
      </x:c>
      <x:c r="J40" s="48" t="n">
        <x:f>F40</x:f>
        <x:v>0.15</x:v>
      </x:c>
      <x:c r="K40" s="28" t="str">
        <x:v>Private model hypothesis</x:v>
      </x:c>
      <x:c r="L40" s="28" t="str">
        <x:v>OWNED — CANON</x:v>
      </x:c>
      <x:c r="M40" s="28" t="str"/>
      <x:c r="N40" s="28" t="str">
        <x:v>Complete ownership</x:v>
      </x:c>
    </x:row>
    <x:row r="41">
      <x:c r="A41" s="28" t="str">
        <x:v>Foundrae</x:v>
      </x:c>
      <x:c r="B41" s="28" t="str">
        <x:v>Jewelry</x:v>
      </x:c>
      <x:c r="C41" s="28" t="str">
        <x:v>Fine jewelry</x:v>
      </x:c>
      <x:c r="D41" s="47" t="n">
        <x:v>0.2</x:v>
      </x:c>
      <x:c r="E41" s="30" t="n">
        <x:v>1</x:v>
      </x:c>
      <x:c r="F41" s="48" t="n">
        <x:f>D41*E41</x:f>
        <x:v>0.2</x:v>
      </x:c>
      <x:c r="G41" s="47" t="n">
        <x:v>0.08</x:v>
      </x:c>
      <x:c r="H41" s="48" t="n">
        <x:f>G41*E41</x:f>
        <x:v>0.08</x:v>
      </x:c>
      <x:c r="I41" s="48" t="n">
        <x:f>H41*1000/365</x:f>
        <x:v>0.2191780821917808</x:v>
      </x:c>
      <x:c r="J41" s="48" t="n">
        <x:f>F41</x:f>
        <x:v>0.2</x:v>
      </x:c>
      <x:c r="K41" s="28" t="str">
        <x:v>Private model hypothesis</x:v>
      </x:c>
      <x:c r="L41" s="28" t="str">
        <x:v>OWNED — CANON</x:v>
      </x:c>
      <x:c r="M41" s="28" t="str"/>
      <x:c r="N41" s="28" t="str">
        <x:v>Complete ownership</x:v>
      </x:c>
    </x:row>
    <x:row r="42">
      <x:c r="A42" s="28" t="str">
        <x:v>Spinelli Kilcollin</x:v>
      </x:c>
      <x:c r="B42" s="28" t="str">
        <x:v>Jewelry</x:v>
      </x:c>
      <x:c r="C42" s="28" t="str">
        <x:v>Fine jewelry</x:v>
      </x:c>
      <x:c r="D42" s="47" t="n">
        <x:v>0.15</x:v>
      </x:c>
      <x:c r="E42" s="30" t="n">
        <x:v>1</x:v>
      </x:c>
      <x:c r="F42" s="48" t="n">
        <x:f>D42*E42</x:f>
        <x:v>0.15</x:v>
      </x:c>
      <x:c r="G42" s="47" t="n">
        <x:v>0.05</x:v>
      </x:c>
      <x:c r="H42" s="48" t="n">
        <x:f>G42*E42</x:f>
        <x:v>0.05</x:v>
      </x:c>
      <x:c r="I42" s="48" t="n">
        <x:f>H42*1000/365</x:f>
        <x:v>0.136986301369863</x:v>
      </x:c>
      <x:c r="J42" s="48" t="n">
        <x:f>F42</x:f>
        <x:v>0.15</x:v>
      </x:c>
      <x:c r="K42" s="28" t="str">
        <x:v>Private model hypothesis</x:v>
      </x:c>
      <x:c r="L42" s="28" t="str">
        <x:v>OWNED — CANON</x:v>
      </x:c>
      <x:c r="M42" s="28" t="str"/>
      <x:c r="N42" s="28" t="str">
        <x:v>Complete ownership</x:v>
      </x:c>
    </x:row>
    <x:row r="43">
      <x:c r="A43" s="28" t="str">
        <x:v>Repossi</x:v>
      </x:c>
      <x:c r="B43" s="28" t="str">
        <x:v>Jewelry</x:v>
      </x:c>
      <x:c r="C43" s="28" t="str">
        <x:v>Fine jewelry</x:v>
      </x:c>
      <x:c r="D43" s="47" t="n">
        <x:v>0.6</x:v>
      </x:c>
      <x:c r="E43" s="30" t="n">
        <x:v>0.3</x:v>
      </x:c>
      <x:c r="F43" s="48" t="n">
        <x:f>D43*E43</x:f>
        <x:v>0.18</x:v>
      </x:c>
      <x:c r="G43" s="47" t="n">
        <x:v>0.2</x:v>
      </x:c>
      <x:c r="H43" s="48" t="n">
        <x:f>G43*E43</x:f>
        <x:v>0.06</x:v>
      </x:c>
      <x:c r="I43" s="48" t="n">
        <x:f>H43*1000/365</x:f>
        <x:v>0.1643835616438356</x:v>
      </x:c>
      <x:c r="J43" s="48" t="n">
        <x:f>F43</x:f>
        <x:v>0.18</x:v>
      </x:c>
      <x:c r="K43" s="28" t="str">
        <x:v>Private model hypothesis</x:v>
      </x:c>
      <x:c r="L43" s="28" t="str">
        <x:v>OWNED — CANON</x:v>
      </x:c>
      <x:c r="M43" s="28" t="str"/>
      <x:c r="N43" s="28" t="str">
        <x:v>Strategic block; parent overlap to audit if later found</x:v>
      </x:c>
    </x:row>
    <x:row r="46">
      <x:c r="A46" s="68" t="str">
        <x:v>RETROACTIVE CANON TOTALS</x:v>
      </x:c>
      <x:c r="B46" s="68"/>
      <x:c r="C46" s="68"/>
      <x:c r="D46" s="68"/>
      <x:c r="E46" s="68"/>
      <x:c r="F46" s="68"/>
    </x:row>
    <x:row r="47">
      <x:c r="A47" t="str">
        <x:v>New target/group stakes</x:v>
      </x:c>
      <x:c r="B47" t="n">
        <x:f>COUNTA(A4:A43)</x:f>
        <x:v>40</x:v>
      </x:c>
    </x:row>
    <x:row r="48">
      <x:c r="A48" t="str">
        <x:v>Attributable equity added ($B)</x:v>
      </x:c>
      <x:c r="B48" s="44" t="n">
        <x:f>SUM(F4:F43)</x:f>
        <x:v>25.41509999999999</x:v>
      </x:c>
    </x:row>
    <x:row r="49">
      <x:c r="A49" t="str">
        <x:v>Hat Fund deployed ($B)</x:v>
      </x:c>
      <x:c r="B49" s="44" t="n">
        <x:f>SUM(J4:J43)</x:f>
        <x:v>25.41509999999999</x:v>
      </x:c>
    </x:row>
    <x:row r="50">
      <x:c r="A50" t="str">
        <x:v>Hat Fund remaining after lingerie + accessories ($B)</x:v>
      </x:c>
      <x:c r="B50" s="44" t="n">
        <x:f>'Manicured Fingers'!B47-B49</x:f>
        <x:v>280.341</x:v>
      </x:c>
    </x:row>
    <x:row r="51">
      <x:c r="A51" t="str">
        <x:v>Annual attributable revenue ($B)</x:v>
      </x:c>
      <x:c r="B51" s="44" t="n">
        <x:f>SUM(H4:H43)</x:f>
        <x:v>12.928500000000001</x:v>
      </x:c>
    </x:row>
    <x:row r="52">
      <x:c r="A52" t="str">
        <x:v>Daily attributable revenue ($M)</x:v>
      </x:c>
      <x:c r="B52" s="44" t="n">
        <x:f>SUM(I4:I43)</x:f>
        <x:v>35.420547945205485</x:v>
      </x:c>
    </x:row>
    <x:row r="53">
      <x:c r="A53" t="str">
        <x:v>Fashion Empire midpoint after accessories ($B)</x:v>
      </x:c>
      <x:c r="B53" s="44" t="n">
        <x:f>Summary!B5</x:f>
        <x:v>514.2343999999998</x:v>
      </x:c>
    </x:row>
    <x:row r="54">
      <x:c r="A54" t="str">
        <x:v>Total modeled entity/group stakes</x:v>
      </x:c>
      <x:c r="B54" t="n">
        <x:f>120+B47</x:f>
        <x:v>160</x:v>
      </x:c>
    </x:row>
  </x:sheetData>
  <x:mergeCells>
    <x:mergeCell ref="A1:N1"/>
    <x:mergeCell ref="A2:N2"/>
    <x:mergeCell ref="A46:F46"/>
  </x:mergeCells>
  <x:pageMargins left="0.7" right="0.7" top="0.75" bottom="0.75" header="0.3" footer="0.3"/>
  <x:tableParts count="1">
    <x:tablePart xmlns:r="http://schemas.openxmlformats.org/officeDocument/2006/relationships" r:id="R957e01f38df0497b"/>
  </x:tableParts>
</x:worksheet>
</file>

<file path=xl/worksheets/sheet6.xml><?xml version="1.0" encoding="utf-8"?>
<x:worksheet xmlns:x="http://schemas.openxmlformats.org/spreadsheetml/2006/main">
  <x:sheetFormatPr defaultRowHeight="15"/>
  <x:cols>
    <x:col min="1" max="1" width="23" hidden="0" customWidth="1"/>
    <x:col min="2" max="2" width="31" hidden="0" customWidth="1"/>
    <x:col min="3" max="3" width="18" hidden="0" customWidth="1"/>
    <x:col min="4" max="4" width="14" hidden="0" customWidth="1"/>
    <x:col min="5" max="5" width="11" hidden="0" customWidth="1"/>
    <x:col min="6" max="6" width="16" hidden="0" customWidth="1"/>
    <x:col min="7" max="7" width="15" hidden="0" customWidth="1"/>
    <x:col min="8" max="8" width="18" hidden="0" customWidth="1"/>
    <x:col min="9" max="9" width="18" hidden="0" customWidth="1"/>
    <x:col min="10" max="10" width="15" hidden="0" customWidth="1"/>
    <x:col min="11" max="11" width="29" hidden="0" customWidth="1"/>
    <x:col min="12" max="12" width="14" hidden="0" customWidth="1"/>
    <x:col min="13" max="13" width="36" hidden="0" customWidth="1"/>
    <x:col min="14" max="14" width="36" hidden="0" customWidth="1"/>
  </x:cols>
  <x:sheetData>
    <x:row r="1">
      <x:c r="A1" s="73" t="str">
        <x:v>SHOES, ATHLEISURE &amp; RESORT — RETROACTIVE CANON FINAL EXPANSION</x:v>
      </x:c>
      <x:c r="B1" s="73"/>
      <x:c r="C1" s="73"/>
      <x:c r="D1" s="73"/>
      <x:c r="E1" s="73"/>
      <x:c r="F1" s="73"/>
      <x:c r="G1" s="73"/>
      <x:c r="H1" s="73"/>
      <x:c r="I1" s="73"/>
      <x:c r="J1" s="73"/>
      <x:c r="K1" s="73"/>
      <x:c r="L1" s="73"/>
      <x:c r="M1" s="73"/>
      <x:c r="N1" s="73"/>
    </x:row>
    <x:row r="2">
      <x:c r="A2" s="76" t="str">
        <x:v>CANON — CURRENT BASELINE: these stakes were already executed pre-reveal. Public values use Sep-2026 data where available; private values are explicit working hypotheses, not fake precision.</x:v>
      </x:c>
      <x:c r="B2" s="76"/>
      <x:c r="C2" s="76"/>
      <x:c r="D2" s="76"/>
      <x:c r="E2" s="76"/>
      <x:c r="F2" s="76"/>
      <x:c r="G2" s="76"/>
      <x:c r="H2" s="76"/>
      <x:c r="I2" s="76"/>
      <x:c r="J2" s="76"/>
      <x:c r="K2" s="76"/>
      <x:c r="L2" s="76"/>
      <x:c r="M2" s="76"/>
      <x:c r="N2" s="76"/>
    </x:row>
    <x:row r="3">
      <x:c r="A3" s="77" t="str">
        <x:v>Target / Group</x:v>
      </x:c>
      <x:c r="B3" s="77" t="str">
        <x:v>Brands / reason</x:v>
      </x:c>
      <x:c r="C3" s="77" t="str">
        <x:v>Sector</x:v>
      </x:c>
      <x:c r="D3" s="77" t="str">
        <x:v>Valuation / EV ($B)</x:v>
      </x:c>
      <x:c r="E3" s="77" t="str">
        <x:v>Jim stake %</x:v>
      </x:c>
      <x:c r="F3" s="77" t="str">
        <x:v>Attributable value ($B)</x:v>
      </x:c>
      <x:c r="G3" s="77" t="str">
        <x:v>Annual revenue ($B)</x:v>
      </x:c>
      <x:c r="H3" s="77" t="str">
        <x:v>Jim-attributable revenue ($B)</x:v>
      </x:c>
      <x:c r="I3" s="77" t="str">
        <x:v>Daily attributable revenue ($M)</x:v>
      </x:c>
      <x:c r="J3" s="77" t="str">
        <x:v>Hat Fund used ($B)</x:v>
      </x:c>
      <x:c r="K3" s="77" t="str">
        <x:v>Basis</x:v>
      </x:c>
      <x:c r="L3" s="77" t="str">
        <x:v>Status</x:v>
      </x:c>
      <x:c r="M3" s="77" t="str">
        <x:v>Source</x:v>
      </x:c>
      <x:c r="N3" s="77" t="str">
        <x:v>Notes</x:v>
      </x:c>
    </x:row>
    <x:row r="4">
      <x:c r="A4" s="28" t="str">
        <x:v>Birkenstock</x:v>
      </x:c>
      <x:c r="B4" s="28" t="str">
        <x:v>Birkenstock</x:v>
      </x:c>
      <x:c r="C4" s="28" t="str">
        <x:v>Shoes</x:v>
      </x:c>
      <x:c r="D4" s="47" t="n">
        <x:v>5.21</x:v>
      </x:c>
      <x:c r="E4" s="30" t="n">
        <x:v>0.51</x:v>
      </x:c>
      <x:c r="F4" s="78" t="n">
        <x:f>D4*E4</x:f>
        <x:v>2.6571000000000002</x:v>
      </x:c>
      <x:c r="G4" s="47" t="n">
        <x:v>2.2</x:v>
      </x:c>
      <x:c r="H4" s="78" t="n">
        <x:f>G4*E4</x:f>
        <x:v>1.122</x:v>
      </x:c>
      <x:c r="I4" s="78" t="n">
        <x:f>H4*1000/365</x:f>
        <x:v>3.073972602739726</x:v>
      </x:c>
      <x:c r="J4" s="78" t="n">
        <x:f>F4</x:f>
        <x:v>2.6571000000000002</x:v>
      </x:c>
      <x:c r="K4" s="28" t="str">
        <x:v>Sep-2026 public market cap; FY26 revenue working estimate</x:v>
      </x:c>
      <x:c r="L4" s="28" t="str">
        <x:v>OWNED — CANON</x:v>
      </x:c>
      <x:c r="M4" s="28" t="str">
        <x:v>https://companiesmarketcap.com/birkenstock/marketcap/</x:v>
      </x:c>
      <x:c r="N4" s="28" t="str">
        <x:v>The Birkenstock Exchange is canon. Lesbian infrastructure.</x:v>
      </x:c>
    </x:row>
    <x:row r="5">
      <x:c r="A5" s="28" t="str">
        <x:v>On Holding</x:v>
      </x:c>
      <x:c r="B5" s="28" t="str">
        <x:v>On</x:v>
      </x:c>
      <x:c r="C5" s="28" t="str">
        <x:v>Shoes / active</x:v>
      </x:c>
      <x:c r="D5" s="47" t="n">
        <x:v>8.97</x:v>
      </x:c>
      <x:c r="E5" s="30" t="n">
        <x:v>0.3</x:v>
      </x:c>
      <x:c r="F5" s="78" t="n">
        <x:f>D5*E5</x:f>
        <x:v>2.6910000000000003</x:v>
      </x:c>
      <x:c r="G5" s="47" t="n">
        <x:v>3.7</x:v>
      </x:c>
      <x:c r="H5" s="78" t="n">
        <x:f>G5*E5</x:f>
        <x:v>1.11</x:v>
      </x:c>
      <x:c r="I5" s="78" t="n">
        <x:f>H5*1000/365</x:f>
        <x:v>3.041095890410959</x:v>
      </x:c>
      <x:c r="J5" s="78" t="n">
        <x:f>F5</x:f>
        <x:v>2.6910000000000003</x:v>
      </x:c>
      <x:c r="K5" s="28" t="str">
        <x:v>Sep-2026 public market cap; 2026 company guidance converted/rounded from CHF</x:v>
      </x:c>
      <x:c r="L5" s="28" t="str">
        <x:v>OWNED — CANON</x:v>
      </x:c>
      <x:c r="M5" s="28" t="str">
        <x:v>https://companiesmarketcap.com/on-holding/marketcap/</x:v>
      </x:c>
      <x:c r="N5" s="28" t="str">
        <x:v>30% strategic block; public market-cap methodology varies by share class</x:v>
      </x:c>
    </x:row>
    <x:row r="6">
      <x:c r="A6" s="28" t="str">
        <x:v>Aquazzura</x:v>
      </x:c>
      <x:c r="B6" s="28" t="str">
        <x:v>Aquazzura</x:v>
      </x:c>
      <x:c r="C6" s="28" t="str">
        <x:v>Luxury shoes</x:v>
      </x:c>
      <x:c r="D6" s="47" t="n">
        <x:v>0.6</x:v>
      </x:c>
      <x:c r="E6" s="30" t="n">
        <x:v>1</x:v>
      </x:c>
      <x:c r="F6" s="78" t="n">
        <x:f>D6*E6</x:f>
        <x:v>0.6</x:v>
      </x:c>
      <x:c r="G6" s="47" t="n">
        <x:v>0.18</x:v>
      </x:c>
      <x:c r="H6" s="78" t="n">
        <x:f>G6*E6</x:f>
        <x:v>0.18</x:v>
      </x:c>
      <x:c r="I6" s="78" t="n">
        <x:f>H6*1000/365</x:f>
        <x:v>0.4931506849315068</x:v>
      </x:c>
      <x:c r="J6" s="78" t="n">
        <x:f>F6</x:f>
        <x:v>0.6</x:v>
      </x:c>
      <x:c r="K6" s="28" t="str">
        <x:v>Private model hypothesis</x:v>
      </x:c>
      <x:c r="L6" s="28" t="str">
        <x:v>OWNED — CANON</x:v>
      </x:c>
      <x:c r="M6" s="28" t="str"/>
      <x:c r="N6" s="28" t="str">
        <x:v>Outright boutique luxury holding</x:v>
      </x:c>
    </x:row>
    <x:row r="7">
      <x:c r="A7" s="28" t="str">
        <x:v>Gianvito Rossi</x:v>
      </x:c>
      <x:c r="B7" s="28" t="str">
        <x:v>Gianvito Rossi</x:v>
      </x:c>
      <x:c r="C7" s="28" t="str">
        <x:v>Luxury shoes</x:v>
      </x:c>
      <x:c r="D7" s="47" t="n">
        <x:v>0.5</x:v>
      </x:c>
      <x:c r="E7" s="30" t="n">
        <x:v>1</x:v>
      </x:c>
      <x:c r="F7" s="78" t="n">
        <x:f>D7*E7</x:f>
        <x:v>0.5</x:v>
      </x:c>
      <x:c r="G7" s="47" t="n">
        <x:v>0.15</x:v>
      </x:c>
      <x:c r="H7" s="78" t="n">
        <x:f>G7*E7</x:f>
        <x:v>0.15</x:v>
      </x:c>
      <x:c r="I7" s="78" t="n">
        <x:f>H7*1000/365</x:f>
        <x:v>0.410958904109589</x:v>
      </x:c>
      <x:c r="J7" s="78" t="n">
        <x:f>F7</x:f>
        <x:v>0.5</x:v>
      </x:c>
      <x:c r="K7" s="28" t="str">
        <x:v>Private model hypothesis</x:v>
      </x:c>
      <x:c r="L7" s="28" t="str">
        <x:v>OWNED — CANON</x:v>
      </x:c>
      <x:c r="M7" s="28" t="str"/>
      <x:c r="N7" s="28" t="str">
        <x:v>Outright boutique luxury holding</x:v>
      </x:c>
    </x:row>
    <x:row r="8">
      <x:c r="A8" s="28" t="str">
        <x:v>René Caovilla</x:v>
      </x:c>
      <x:c r="B8" s="28" t="str">
        <x:v>René Caovilla</x:v>
      </x:c>
      <x:c r="C8" s="28" t="str">
        <x:v>Luxury shoes</x:v>
      </x:c>
      <x:c r="D8" s="47" t="n">
        <x:v>0.35</x:v>
      </x:c>
      <x:c r="E8" s="30" t="n">
        <x:v>1</x:v>
      </x:c>
      <x:c r="F8" s="78" t="n">
        <x:f>D8*E8</x:f>
        <x:v>0.35</x:v>
      </x:c>
      <x:c r="G8" s="47" t="n">
        <x:v>0.1</x:v>
      </x:c>
      <x:c r="H8" s="78" t="n">
        <x:f>G8*E8</x:f>
        <x:v>0.1</x:v>
      </x:c>
      <x:c r="I8" s="78" t="n">
        <x:f>H8*1000/365</x:f>
        <x:v>0.273972602739726</x:v>
      </x:c>
      <x:c r="J8" s="78" t="n">
        <x:f>F8</x:f>
        <x:v>0.35</x:v>
      </x:c>
      <x:c r="K8" s="28" t="str">
        <x:v>Private model hypothesis</x:v>
      </x:c>
      <x:c r="L8" s="28" t="str">
        <x:v>OWNED — CANON</x:v>
      </x:c>
      <x:c r="M8" s="28" t="str"/>
      <x:c r="N8" s="28" t="str">
        <x:v>Outright; jeweled shoes are shiny things' cousins</x:v>
      </x:c>
    </x:row>
    <x:row r="9">
      <x:c r="A9" s="28" t="str">
        <x:v>Amina Muaddi</x:v>
      </x:c>
      <x:c r="B9" s="28" t="str">
        <x:v>Amina Muaddi</x:v>
      </x:c>
      <x:c r="C9" s="28" t="str">
        <x:v>Luxury shoes</x:v>
      </x:c>
      <x:c r="D9" s="47" t="n">
        <x:v>0.6</x:v>
      </x:c>
      <x:c r="E9" s="30" t="n">
        <x:v>1</x:v>
      </x:c>
      <x:c r="F9" s="78" t="n">
        <x:f>D9*E9</x:f>
        <x:v>0.6</x:v>
      </x:c>
      <x:c r="G9" s="47" t="n">
        <x:v>0.18</x:v>
      </x:c>
      <x:c r="H9" s="78" t="n">
        <x:f>G9*E9</x:f>
        <x:v>0.18</x:v>
      </x:c>
      <x:c r="I9" s="78" t="n">
        <x:f>H9*1000/365</x:f>
        <x:v>0.4931506849315068</x:v>
      </x:c>
      <x:c r="J9" s="78" t="n">
        <x:f>F9</x:f>
        <x:v>0.6</x:v>
      </x:c>
      <x:c r="K9" s="28" t="str">
        <x:v>Private model hypothesis</x:v>
      </x:c>
      <x:c r="L9" s="28" t="str">
        <x:v>OWNED — CANON</x:v>
      </x:c>
      <x:c r="M9" s="28" t="str"/>
      <x:c r="N9" s="28" t="str">
        <x:v>Outright</x:v>
      </x:c>
    </x:row>
    <x:row r="10">
      <x:c r="A10" s="28" t="str">
        <x:v>Malone Souliers</x:v>
      </x:c>
      <x:c r="B10" s="28" t="str">
        <x:v>Malone Souliers</x:v>
      </x:c>
      <x:c r="C10" s="28" t="str">
        <x:v>Luxury shoes</x:v>
      </x:c>
      <x:c r="D10" s="47" t="n">
        <x:v>0.03</x:v>
      </x:c>
      <x:c r="E10" s="30" t="n">
        <x:v>1</x:v>
      </x:c>
      <x:c r="F10" s="78" t="n">
        <x:f>D10*E10</x:f>
        <x:v>0.03</x:v>
      </x:c>
      <x:c r="G10" s="47" t="n">
        <x:v>0.01</x:v>
      </x:c>
      <x:c r="H10" s="78" t="n">
        <x:f>G10*E10</x:f>
        <x:v>0.01</x:v>
      </x:c>
      <x:c r="I10" s="78" t="n">
        <x:f>H10*1000/365</x:f>
        <x:v>0.0273972602739726</x:v>
      </x:c>
      <x:c r="J10" s="78" t="n">
        <x:f>F10</x:f>
        <x:v>0.03</x:v>
      </x:c>
      <x:c r="K10" s="28" t="str">
        <x:v>Outside estimates imply small private scale; rounded hypothesis</x:v>
      </x:c>
      <x:c r="L10" s="28" t="str">
        <x:v>OWNED — CANON</x:v>
      </x:c>
      <x:c r="M10" s="28" t="str"/>
      <x:c r="N10" s="28" t="str">
        <x:v>Outright</x:v>
      </x:c>
    </x:row>
    <x:row r="11">
      <x:c r="A11" s="28" t="str">
        <x:v>Sophia Webster</x:v>
      </x:c>
      <x:c r="B11" s="28" t="str">
        <x:v>Sophia Webster</x:v>
      </x:c>
      <x:c r="C11" s="28" t="str">
        <x:v>Luxury shoes</x:v>
      </x:c>
      <x:c r="D11" s="47" t="n">
        <x:v>0.08</x:v>
      </x:c>
      <x:c r="E11" s="30" t="n">
        <x:v>1</x:v>
      </x:c>
      <x:c r="F11" s="78" t="n">
        <x:f>D11*E11</x:f>
        <x:v>0.08</x:v>
      </x:c>
      <x:c r="G11" s="47" t="n">
        <x:v>0.02</x:v>
      </x:c>
      <x:c r="H11" s="78" t="n">
        <x:f>G11*E11</x:f>
        <x:v>0.02</x:v>
      </x:c>
      <x:c r="I11" s="78" t="n">
        <x:f>H11*1000/365</x:f>
        <x:v>0.0547945205479452</x:v>
      </x:c>
      <x:c r="J11" s="78" t="n">
        <x:f>F11</x:f>
        <x:v>0.08</x:v>
      </x:c>
      <x:c r="K11" s="28" t="str">
        <x:v>Private model hypothesis</x:v>
      </x:c>
      <x:c r="L11" s="28" t="str">
        <x:v>OWNED — CANON</x:v>
      </x:c>
      <x:c r="M11" s="28" t="str"/>
      <x:c r="N11" s="28" t="str">
        <x:v>Outright</x:v>
      </x:c>
    </x:row>
    <x:row r="12">
      <x:c r="A12" s="28" t="str">
        <x:v>Paris Texas</x:v>
      </x:c>
      <x:c r="B12" s="28" t="str">
        <x:v>Paris Texas</x:v>
      </x:c>
      <x:c r="C12" s="28" t="str">
        <x:v>Luxury shoes</x:v>
      </x:c>
      <x:c r="D12" s="47" t="n">
        <x:v>0.15</x:v>
      </x:c>
      <x:c r="E12" s="30" t="n">
        <x:v>1</x:v>
      </x:c>
      <x:c r="F12" s="78" t="n">
        <x:f>D12*E12</x:f>
        <x:v>0.15</x:v>
      </x:c>
      <x:c r="G12" s="47" t="n">
        <x:v>0.05</x:v>
      </x:c>
      <x:c r="H12" s="78" t="n">
        <x:f>G12*E12</x:f>
        <x:v>0.05</x:v>
      </x:c>
      <x:c r="I12" s="78" t="n">
        <x:f>H12*1000/365</x:f>
        <x:v>0.136986301369863</x:v>
      </x:c>
      <x:c r="J12" s="78" t="n">
        <x:f>F12</x:f>
        <x:v>0.15</x:v>
      </x:c>
      <x:c r="K12" s="28" t="str">
        <x:v>Private model hypothesis</x:v>
      </x:c>
      <x:c r="L12" s="28" t="str">
        <x:v>OWNED — CANON</x:v>
      </x:c>
      <x:c r="M12" s="28" t="str"/>
      <x:c r="N12" s="28" t="str">
        <x:v>Outright</x:v>
      </x:c>
    </x:row>
    <x:row r="13">
      <x:c r="A13" s="28" t="str">
        <x:v>Lululemon</x:v>
      </x:c>
      <x:c r="B13" s="28" t="str">
        <x:v>lululemon</x:v>
      </x:c>
      <x:c r="C13" s="28" t="str">
        <x:v>Athleisure</x:v>
      </x:c>
      <x:c r="D13" s="47" t="n">
        <x:v>11.04</x:v>
      </x:c>
      <x:c r="E13" s="30" t="n">
        <x:v>0.51</x:v>
      </x:c>
      <x:c r="F13" s="78" t="n">
        <x:f>D13*E13</x:f>
        <x:v>5.6304</x:v>
      </x:c>
      <x:c r="G13" s="47" t="n">
        <x:v>10.425</x:v>
      </x:c>
      <x:c r="H13" s="78" t="n">
        <x:f>G13*E13</x:f>
        <x:v>5.316750000000001</x:v>
      </x:c>
      <x:c r="I13" s="78" t="n">
        <x:f>H13*1000/365</x:f>
        <x:v>14.566438356164387</x:v>
      </x:c>
      <x:c r="J13" s="78" t="n">
        <x:f>F13</x:f>
        <x:v>5.6304</x:v>
      </x:c>
      <x:c r="K13" s="28" t="str">
        <x:v>Sep-9-2026 market cap; FY26 revenue guidance midpoint</x:v>
      </x:c>
      <x:c r="L13" s="28" t="str">
        <x:v>OWNED — CANON</x:v>
      </x:c>
      <x:c r="M13" s="28" t="str">
        <x:v>https://stockanalysis.com/stocks/lulu/market-cap/</x:v>
      </x:c>
      <x:c r="N13" s="28" t="str">
        <x:v>51% control; bought during 2026 valuation collapse in our model</x:v>
      </x:c>
    </x:row>
    <x:row r="14">
      <x:c r="A14" s="28" t="str">
        <x:v>Alo Yoga</x:v>
      </x:c>
      <x:c r="B14" s="28" t="str">
        <x:v>Alo Yoga</x:v>
      </x:c>
      <x:c r="C14" s="28" t="str">
        <x:v>Athleisure</x:v>
      </x:c>
      <x:c r="D14" s="47" t="n">
        <x:v>10</x:v>
      </x:c>
      <x:c r="E14" s="30" t="n">
        <x:v>0.3</x:v>
      </x:c>
      <x:c r="F14" s="78" t="n">
        <x:f>D14*E14</x:f>
        <x:v>3</x:v>
      </x:c>
      <x:c r="G14" s="47" t="n">
        <x:v>2.8</x:v>
      </x:c>
      <x:c r="H14" s="78" t="n">
        <x:f>G14*E14</x:f>
        <x:v>0.84</x:v>
      </x:c>
      <x:c r="I14" s="78" t="n">
        <x:f>H14*1000/365</x:f>
        <x:v>2.3013698630136985</x:v>
      </x:c>
      <x:c r="J14" s="78" t="n">
        <x:f>F14</x:f>
        <x:v>3</x:v>
      </x:c>
      <x:c r="K14" s="28" t="str">
        <x:v>2023 sought valuation reiterated by Reuters; 2026 standalone revenue modeled by Eightx</x:v>
      </x:c>
      <x:c r="L14" s="28" t="str">
        <x:v>OWNED — CANON</x:v>
      </x:c>
      <x:c r="M14" s="28" t="str">
        <x:v>https://www.reuters.com/business/finance/alo-yoga-primed-public-offering-or-sale-after-owners-sale-wholesale-t-shirt-2026-06-23/</x:v>
      </x:c>
      <x:c r="N14" s="28" t="str">
        <x:v>30% strategic block; $10B is a real sought valuation anchor, not a confirmed sale price</x:v>
      </x:c>
    </x:row>
    <x:row r="15">
      <x:c r="A15" s="28" t="str">
        <x:v>Vuori</x:v>
      </x:c>
      <x:c r="B15" s="28" t="str">
        <x:v>Vuori</x:v>
      </x:c>
      <x:c r="C15" s="28" t="str">
        <x:v>Athleisure</x:v>
      </x:c>
      <x:c r="D15" s="47" t="n">
        <x:v>5.5</x:v>
      </x:c>
      <x:c r="E15" s="30" t="n">
        <x:v>0.3</x:v>
      </x:c>
      <x:c r="F15" s="78" t="n">
        <x:f>D15*E15</x:f>
        <x:v>1.65</x:v>
      </x:c>
      <x:c r="G15" s="47" t="n">
        <x:v>1.4</x:v>
      </x:c>
      <x:c r="H15" s="78" t="n">
        <x:f>G15*E15</x:f>
        <x:v>0.42</x:v>
      </x:c>
      <x:c r="I15" s="78" t="n">
        <x:f>H15*1000/365</x:f>
        <x:v>1.1506849315068493</x:v>
      </x:c>
      <x:c r="J15" s="78" t="n">
        <x:f>F15</x:f>
        <x:v>1.65</x:v>
      </x:c>
      <x:c r="K15" s="28" t="str">
        <x:v>2024/26 private valuation anchor; 2026 revenue modeled</x:v>
      </x:c>
      <x:c r="L15" s="28" t="str">
        <x:v>OWNED — CANON</x:v>
      </x:c>
      <x:c r="M15" s="28" t="str">
        <x:v>https://www.wsj.com/business/retail/athleisure-brand-vuori-targets-china-in-global-retail-push-e83fc9c8</x:v>
      </x:c>
      <x:c r="N15" s="28" t="str">
        <x:v>30% strategic block</x:v>
      </x:c>
    </x:row>
    <x:row r="16">
      <x:c r="A16" s="28" t="str">
        <x:v>Sweaty Betty via Wolverine</x:v>
      </x:c>
      <x:c r="B16" s="28" t="str">
        <x:v>Sweaty Betty exposure</x:v>
      </x:c>
      <x:c r="C16" s="28" t="str">
        <x:v>Athleisure</x:v>
      </x:c>
      <x:c r="D16" s="47" t="n">
        <x:v>0.41</x:v>
      </x:c>
      <x:c r="E16" s="30" t="n">
        <x:v>0.51</x:v>
      </x:c>
      <x:c r="F16" s="78" t="n">
        <x:f>D16*E16</x:f>
        <x:v>0.20909999999999998</x:v>
      </x:c>
      <x:c r="G16" s="47" t="n">
        <x:v>0.3</x:v>
      </x:c>
      <x:c r="H16" s="78" t="n">
        <x:f>G16*E16</x:f>
        <x:v>0.153</x:v>
      </x:c>
      <x:c r="I16" s="78" t="n">
        <x:f>H16*1000/365</x:f>
        <x:v>0.4191780821917808</x:v>
      </x:c>
      <x:c r="J16" s="78" t="n">
        <x:f>F16</x:f>
        <x:v>0.20909999999999998</x:v>
      </x:c>
      <x:c r="K16" s="28" t="str">
        <x:v>2021 acquisition price used as conservative brand-value anchor</x:v>
      </x:c>
      <x:c r="L16" s="28" t="str">
        <x:v>OWNED — CANON</x:v>
      </x:c>
      <x:c r="M16" s="28" t="str">
        <x:v>https://investors.wolverineworldwide.com/news/news-details/2021/Wolverine-Worldwide-Acquires-Womens-Activewear-Brand-Sweaty-Betty-08-03-2021/default.aspx</x:v>
      </x:c>
      <x:c r="N16" s="28" t="str">
        <x:v>Modeled direct economic stake; corporate-structure mechanics are fiction-author magic</x:v>
      </x:c>
    </x:row>
    <x:row r="17">
      <x:c r="A17" s="28" t="str">
        <x:v>Beyond Yoga via Levi Strauss</x:v>
      </x:c>
      <x:c r="B17" s="28" t="str">
        <x:v>Beyond Yoga exposure</x:v>
      </x:c>
      <x:c r="C17" s="28" t="str">
        <x:v>Athleisure</x:v>
      </x:c>
      <x:c r="D17" s="47" t="n">
        <x:v>0.6</x:v>
      </x:c>
      <x:c r="E17" s="30" t="n">
        <x:v>0.51</x:v>
      </x:c>
      <x:c r="F17" s="78" t="n">
        <x:f>D17*E17</x:f>
        <x:v>0.306</x:v>
      </x:c>
      <x:c r="G17" s="47" t="n">
        <x:v>0.25</x:v>
      </x:c>
      <x:c r="H17" s="78" t="n">
        <x:f>G17*E17</x:f>
        <x:v>0.1275</x:v>
      </x:c>
      <x:c r="I17" s="78" t="n">
        <x:f>H17*1000/365</x:f>
        <x:v>0.3493150684931507</x:v>
      </x:c>
      <x:c r="J17" s="78" t="n">
        <x:f>F17</x:f>
        <x:v>0.306</x:v>
      </x:c>
      <x:c r="K17" s="28" t="str">
        <x:v>Private brand hypothesis; Levi reported nearly $100M FY22 revenue</x:v>
      </x:c>
      <x:c r="L17" s="28" t="str">
        <x:v>OWNED — CANON</x:v>
      </x:c>
      <x:c r="M17" s="28" t="str">
        <x:v>https://www.levistrauss.com/2024/01/19/beyond-yoga-leadership-changes/</x:v>
      </x:c>
      <x:c r="N17" s="28" t="str">
        <x:v>Modeled direct economic stake; avoid counting Levi parent unless later acquired</x:v>
      </x:c>
    </x:row>
    <x:row r="18">
      <x:c r="A18" s="28" t="str">
        <x:v>Gymshark</x:v>
      </x:c>
      <x:c r="B18" s="28" t="str">
        <x:v>Gymshark</x:v>
      </x:c>
      <x:c r="C18" s="28" t="str">
        <x:v>Athleisure</x:v>
      </x:c>
      <x:c r="D18" s="47" t="n">
        <x:v>1.5</x:v>
      </x:c>
      <x:c r="E18" s="30" t="n">
        <x:v>0.3</x:v>
      </x:c>
      <x:c r="F18" s="78" t="n">
        <x:f>D18*E18</x:f>
        <x:v>0.44999999999999996</x:v>
      </x:c>
      <x:c r="G18" s="47" t="n">
        <x:v>0.75</x:v>
      </x:c>
      <x:c r="H18" s="78" t="n">
        <x:f>G18*E18</x:f>
        <x:v>0.22499999999999998</x:v>
      </x:c>
      <x:c r="I18" s="78" t="n">
        <x:f>H18*1000/365</x:f>
        <x:v>0.6164383561643835</x:v>
      </x:c>
      <x:c r="J18" s="78" t="n">
        <x:f>F18</x:f>
        <x:v>0.44999999999999996</x:v>
      </x:c>
      <x:c r="K18" s="28" t="str">
        <x:v>Private model hypothesis</x:v>
      </x:c>
      <x:c r="L18" s="28" t="str">
        <x:v>OWNED — CANON</x:v>
      </x:c>
      <x:c r="M18" s="28" t="str"/>
      <x:c r="N18" s="28" t="str">
        <x:v>30% strategic block</x:v>
      </x:c>
    </x:row>
    <x:row r="19">
      <x:c r="A19" s="28" t="str">
        <x:v>Athleta carve-out exposure</x:v>
      </x:c>
      <x:c r="B19" s="28" t="str">
        <x:v>Athleta brand economics</x:v>
      </x:c>
      <x:c r="C19" s="28" t="str">
        <x:v>Athleisure</x:v>
      </x:c>
      <x:c r="D19" s="47" t="n">
        <x:v>2</x:v>
      </x:c>
      <x:c r="E19" s="30" t="n">
        <x:v>0.3</x:v>
      </x:c>
      <x:c r="F19" s="78" t="n">
        <x:f>D19*E19</x:f>
        <x:v>0.6</x:v>
      </x:c>
      <x:c r="G19" s="47" t="n">
        <x:v>1.2</x:v>
      </x:c>
      <x:c r="H19" s="78" t="n">
        <x:f>G19*E19</x:f>
        <x:v>0.36</x:v>
      </x:c>
      <x:c r="I19" s="78" t="n">
        <x:f>H19*1000/365</x:f>
        <x:v>0.9863013698630136</x:v>
      </x:c>
      <x:c r="J19" s="78" t="n">
        <x:f>F19</x:f>
        <x:v>0.6</x:v>
      </x:c>
      <x:c r="K19" s="28" t="str">
        <x:v>Private brand-value hypothesis; Gap parent not acquired here</x:v>
      </x:c>
      <x:c r="L19" s="28" t="str">
        <x:v>OWNED — CANON</x:v>
      </x:c>
      <x:c r="M19" s="28" t="str"/>
      <x:c r="N19" s="28" t="str">
        <x:v>Fictional carve-out/economic stake; keeps parent double count out</x:v>
      </x:c>
    </x:row>
    <x:row r="20">
      <x:c r="A20" s="28" t="str">
        <x:v>Fabletics</x:v>
      </x:c>
      <x:c r="B20" s="28" t="str">
        <x:v>Fabletics</x:v>
      </x:c>
      <x:c r="C20" s="28" t="str">
        <x:v>Athleisure</x:v>
      </x:c>
      <x:c r="D20" s="47" t="n">
        <x:v>2</x:v>
      </x:c>
      <x:c r="E20" s="30" t="n">
        <x:v>0.3</x:v>
      </x:c>
      <x:c r="F20" s="78" t="n">
        <x:f>D20*E20</x:f>
        <x:v>0.6</x:v>
      </x:c>
      <x:c r="G20" s="47" t="n">
        <x:v>0.8</x:v>
      </x:c>
      <x:c r="H20" s="78" t="n">
        <x:f>G20*E20</x:f>
        <x:v>0.24</x:v>
      </x:c>
      <x:c r="I20" s="78" t="n">
        <x:f>H20*1000/365</x:f>
        <x:v>0.6575342465753424</x:v>
      </x:c>
      <x:c r="J20" s="78" t="n">
        <x:f>F20</x:f>
        <x:v>0.6</x:v>
      </x:c>
      <x:c r="K20" s="28" t="str">
        <x:v>Private model hypothesis</x:v>
      </x:c>
      <x:c r="L20" s="28" t="str">
        <x:v>OWNED — CANON</x:v>
      </x:c>
      <x:c r="M20" s="28" t="str"/>
      <x:c r="N20" s="28" t="str">
        <x:v>30% strategic block</x:v>
      </x:c>
    </x:row>
    <x:row r="21">
      <x:c r="A21" s="28" t="str">
        <x:v>Varley</x:v>
      </x:c>
      <x:c r="B21" s="28" t="str">
        <x:v>Varley</x:v>
      </x:c>
      <x:c r="C21" s="28" t="str">
        <x:v>Athleisure</x:v>
      </x:c>
      <x:c r="D21" s="47" t="n">
        <x:v>0.35</x:v>
      </x:c>
      <x:c r="E21" s="30" t="n">
        <x:v>0.51</x:v>
      </x:c>
      <x:c r="F21" s="78" t="n">
        <x:f>D21*E21</x:f>
        <x:v>0.1785</x:v>
      </x:c>
      <x:c r="G21" s="47" t="n">
        <x:v>0.15</x:v>
      </x:c>
      <x:c r="H21" s="78" t="n">
        <x:f>G21*E21</x:f>
        <x:v>0.0765</x:v>
      </x:c>
      <x:c r="I21" s="78" t="n">
        <x:f>H21*1000/365</x:f>
        <x:v>0.2095890410958904</x:v>
      </x:c>
      <x:c r="J21" s="78" t="n">
        <x:f>F21</x:f>
        <x:v>0.1785</x:v>
      </x:c>
      <x:c r="K21" s="28" t="str">
        <x:v>Private model hypothesis</x:v>
      </x:c>
      <x:c r="L21" s="28" t="str">
        <x:v>OWNED — CANON</x:v>
      </x:c>
      <x:c r="M21" s="28" t="str"/>
      <x:c r="N21" s="28" t="str">
        <x:v>Control</x:v>
      </x:c>
    </x:row>
    <x:row r="22">
      <x:c r="A22" s="28" t="str">
        <x:v>Year of Ours</x:v>
      </x:c>
      <x:c r="B22" s="28" t="str">
        <x:v>Year of Ours</x:v>
      </x:c>
      <x:c r="C22" s="28" t="str">
        <x:v>Athleisure</x:v>
      </x:c>
      <x:c r="D22" s="47" t="n">
        <x:v>0.1</x:v>
      </x:c>
      <x:c r="E22" s="30" t="n">
        <x:v>1</x:v>
      </x:c>
      <x:c r="F22" s="78" t="n">
        <x:f>D22*E22</x:f>
        <x:v>0.1</x:v>
      </x:c>
      <x:c r="G22" s="47" t="n">
        <x:v>0.04</x:v>
      </x:c>
      <x:c r="H22" s="78" t="n">
        <x:f>G22*E22</x:f>
        <x:v>0.04</x:v>
      </x:c>
      <x:c r="I22" s="78" t="n">
        <x:f>H22*1000/365</x:f>
        <x:v>0.1095890410958904</x:v>
      </x:c>
      <x:c r="J22" s="78" t="n">
        <x:f>F22</x:f>
        <x:v>0.1</x:v>
      </x:c>
      <x:c r="K22" s="28" t="str">
        <x:v>Private model hypothesis</x:v>
      </x:c>
      <x:c r="L22" s="28" t="str">
        <x:v>OWNED — CANON</x:v>
      </x:c>
      <x:c r="M22" s="28" t="str"/>
      <x:c r="N22" s="28" t="str">
        <x:v>Outright</x:v>
      </x:c>
    </x:row>
    <x:row r="23">
      <x:c r="A23" s="28" t="str">
        <x:v>Splits59</x:v>
      </x:c>
      <x:c r="B23" s="28" t="str">
        <x:v>Splits59</x:v>
      </x:c>
      <x:c r="C23" s="28" t="str">
        <x:v>Athleisure</x:v>
      </x:c>
      <x:c r="D23" s="47" t="n">
        <x:v>0.08</x:v>
      </x:c>
      <x:c r="E23" s="30" t="n">
        <x:v>1</x:v>
      </x:c>
      <x:c r="F23" s="78" t="n">
        <x:f>D23*E23</x:f>
        <x:v>0.08</x:v>
      </x:c>
      <x:c r="G23" s="47" t="n">
        <x:v>0.03</x:v>
      </x:c>
      <x:c r="H23" s="78" t="n">
        <x:f>G23*E23</x:f>
        <x:v>0.03</x:v>
      </x:c>
      <x:c r="I23" s="78" t="n">
        <x:f>H23*1000/365</x:f>
        <x:v>0.0821917808219178</x:v>
      </x:c>
      <x:c r="J23" s="78" t="n">
        <x:f>F23</x:f>
        <x:v>0.08</x:v>
      </x:c>
      <x:c r="K23" s="28" t="str">
        <x:v>Private model hypothesis</x:v>
      </x:c>
      <x:c r="L23" s="28" t="str">
        <x:v>OWNED — CANON</x:v>
      </x:c>
      <x:c r="M23" s="28" t="str"/>
      <x:c r="N23" s="28" t="str">
        <x:v>Outright</x:v>
      </x:c>
    </x:row>
    <x:row r="24">
      <x:c r="A24" s="28" t="str">
        <x:v>Hunza G</x:v>
      </x:c>
      <x:c r="B24" s="28" t="str">
        <x:v>Hunza G</x:v>
      </x:c>
      <x:c r="C24" s="28" t="str">
        <x:v>Swim / resort</x:v>
      </x:c>
      <x:c r="D24" s="47" t="n">
        <x:v>0.2</x:v>
      </x:c>
      <x:c r="E24" s="30" t="n">
        <x:v>1</x:v>
      </x:c>
      <x:c r="F24" s="78" t="n">
        <x:f>D24*E24</x:f>
        <x:v>0.2</x:v>
      </x:c>
      <x:c r="G24" s="47" t="n">
        <x:v>0.07</x:v>
      </x:c>
      <x:c r="H24" s="78" t="n">
        <x:f>G24*E24</x:f>
        <x:v>0.07</x:v>
      </x:c>
      <x:c r="I24" s="78" t="n">
        <x:f>H24*1000/365</x:f>
        <x:v>0.1917808219178082</x:v>
      </x:c>
      <x:c r="J24" s="78" t="n">
        <x:f>F24</x:f>
        <x:v>0.2</x:v>
      </x:c>
      <x:c r="K24" s="28" t="str">
        <x:v>Private model hypothesis</x:v>
      </x:c>
      <x:c r="L24" s="28" t="str">
        <x:v>OWNED — CANON</x:v>
      </x:c>
      <x:c r="M24" s="28" t="str"/>
      <x:c r="N24" s="28" t="str">
        <x:v>Outright resort jewel</x:v>
      </x:c>
    </x:row>
    <x:row r="25">
      <x:c r="A25" s="28" t="str">
        <x:v>Melissa Odabash</x:v>
      </x:c>
      <x:c r="B25" s="28" t="str">
        <x:v>Melissa Odabash</x:v>
      </x:c>
      <x:c r="C25" s="28" t="str">
        <x:v>Swim / resort</x:v>
      </x:c>
      <x:c r="D25" s="47" t="n">
        <x:v>0.03</x:v>
      </x:c>
      <x:c r="E25" s="30" t="n">
        <x:v>1</x:v>
      </x:c>
      <x:c r="F25" s="78" t="n">
        <x:f>D25*E25</x:f>
        <x:v>0.03</x:v>
      </x:c>
      <x:c r="G25" s="47" t="n">
        <x:v>0.008</x:v>
      </x:c>
      <x:c r="H25" s="78" t="n">
        <x:f>G25*E25</x:f>
        <x:v>0.008</x:v>
      </x:c>
      <x:c r="I25" s="78" t="n">
        <x:f>H25*1000/365</x:f>
        <x:v>0.021917808219178082</x:v>
      </x:c>
      <x:c r="J25" s="78" t="n">
        <x:f>F25</x:f>
        <x:v>0.03</x:v>
      </x:c>
      <x:c r="K25" s="28" t="str">
        <x:v>Outside estimates around $8M value are low/noisy; conservative upgraded model hypothesis</x:v>
      </x:c>
      <x:c r="L25" s="28" t="str">
        <x:v>OWNED — CANON</x:v>
      </x:c>
      <x:c r="M25" s="28" t="str">
        <x:v>https://prospeo.io/c/melissa-odabash</x:v>
      </x:c>
      <x:c r="N25" s="28" t="str">
        <x:v>Outright</x:v>
      </x:c>
    </x:row>
    <x:row r="26">
      <x:c r="A26" s="28" t="str">
        <x:v>Monday Swimwear</x:v>
      </x:c>
      <x:c r="B26" s="28" t="str">
        <x:v>Monday Swimwear</x:v>
      </x:c>
      <x:c r="C26" s="28" t="str">
        <x:v>Swim / resort</x:v>
      </x:c>
      <x:c r="D26" s="47" t="n">
        <x:v>0.08</x:v>
      </x:c>
      <x:c r="E26" s="30" t="n">
        <x:v>1</x:v>
      </x:c>
      <x:c r="F26" s="78" t="n">
        <x:f>D26*E26</x:f>
        <x:v>0.08</x:v>
      </x:c>
      <x:c r="G26" s="47" t="n">
        <x:v>0.035</x:v>
      </x:c>
      <x:c r="H26" s="78" t="n">
        <x:f>G26*E26</x:f>
        <x:v>0.035</x:v>
      </x:c>
      <x:c r="I26" s="78" t="n">
        <x:f>H26*1000/365</x:f>
        <x:v>0.0958904109589041</x:v>
      </x:c>
      <x:c r="J26" s="78" t="n">
        <x:f>F26</x:f>
        <x:v>0.08</x:v>
      </x:c>
      <x:c r="K26" s="28" t="str">
        <x:v>Private hypothesis informed by conflicting web-sales estimates</x:v>
      </x:c>
      <x:c r="L26" s="28" t="str">
        <x:v>OWNED — CANON</x:v>
      </x:c>
      <x:c r="M26" s="28" t="str">
        <x:v>https://gripsintelligence.com/insights/retailers/mondayswimwear.com</x:v>
      </x:c>
      <x:c r="N26" s="28" t="str">
        <x:v>Outright; e-commerce estimates vary wildly</x:v>
      </x:c>
    </x:row>
    <x:row r="27">
      <x:c r="A27" s="28" t="str">
        <x:v>Seafolly</x:v>
      </x:c>
      <x:c r="B27" s="28" t="str">
        <x:v>Seafolly</x:v>
      </x:c>
      <x:c r="C27" s="28" t="str">
        <x:v>Swim / resort</x:v>
      </x:c>
      <x:c r="D27" s="47" t="n">
        <x:v>0.25</x:v>
      </x:c>
      <x:c r="E27" s="30" t="n">
        <x:v>0.51</x:v>
      </x:c>
      <x:c r="F27" s="78" t="n">
        <x:f>D27*E27</x:f>
        <x:v>0.1275</x:v>
      </x:c>
      <x:c r="G27" s="47" t="n">
        <x:v>0.12</x:v>
      </x:c>
      <x:c r="H27" s="78" t="n">
        <x:f>G27*E27</x:f>
        <x:v>0.0612</x:v>
      </x:c>
      <x:c r="I27" s="78" t="n">
        <x:f>H27*1000/365</x:f>
        <x:v>0.16767123287671232</x:v>
      </x:c>
      <x:c r="J27" s="78" t="n">
        <x:f>F27</x:f>
        <x:v>0.1275</x:v>
      </x:c>
      <x:c r="K27" s="28" t="str">
        <x:v>Private model hypothesis</x:v>
      </x:c>
      <x:c r="L27" s="28" t="str">
        <x:v>OWNED — CANON</x:v>
      </x:c>
      <x:c r="M27" s="28" t="str"/>
      <x:c r="N27" s="28" t="str">
        <x:v>Control</x:v>
      </x:c>
    </x:row>
    <x:row r="28">
      <x:c r="A28" s="28" t="str">
        <x:v>Vilebrequin</x:v>
      </x:c>
      <x:c r="B28" s="28" t="str">
        <x:v>Vilebrequin</x:v>
      </x:c>
      <x:c r="C28" s="28" t="str">
        <x:v>Swim / resort</x:v>
      </x:c>
      <x:c r="D28" s="47" t="n">
        <x:v>0.4</x:v>
      </x:c>
      <x:c r="E28" s="30" t="n">
        <x:v>0.51</x:v>
      </x:c>
      <x:c r="F28" s="78" t="n">
        <x:f>D28*E28</x:f>
        <x:v>0.20400000000000001</x:v>
      </x:c>
      <x:c r="G28" s="47" t="n">
        <x:v>0.2</x:v>
      </x:c>
      <x:c r="H28" s="78" t="n">
        <x:f>G28*E28</x:f>
        <x:v>0.10200000000000001</x:v>
      </x:c>
      <x:c r="I28" s="78" t="n">
        <x:f>H28*1000/365</x:f>
        <x:v>0.27945205479452057</x:v>
      </x:c>
      <x:c r="J28" s="78" t="n">
        <x:f>F28</x:f>
        <x:v>0.20400000000000001</x:v>
      </x:c>
      <x:c r="K28" s="28" t="str">
        <x:v>Private model hypothesis</x:v>
      </x:c>
      <x:c r="L28" s="28" t="str">
        <x:v>OWNED — CANON</x:v>
      </x:c>
      <x:c r="M28" s="28" t="str"/>
      <x:c r="N28" s="28" t="str">
        <x:v>Control; broader resort coverage</x:v>
      </x:c>
    </x:row>
    <x:row r="29">
      <x:c r="A29" s="28" t="str">
        <x:v>Zimmermann</x:v>
      </x:c>
      <x:c r="B29" s="28" t="str">
        <x:v>Zimmermann</x:v>
      </x:c>
      <x:c r="C29" s="28" t="str">
        <x:v>Resort / fashion</x:v>
      </x:c>
      <x:c r="D29" s="47" t="n">
        <x:v>1.75</x:v>
      </x:c>
      <x:c r="E29" s="30" t="n">
        <x:v>0.3</x:v>
      </x:c>
      <x:c r="F29" s="78" t="n">
        <x:f>D29*E29</x:f>
        <x:v>0.525</x:v>
      </x:c>
      <x:c r="G29" s="47" t="n">
        <x:v>0.55</x:v>
      </x:c>
      <x:c r="H29" s="78" t="n">
        <x:f>G29*E29</x:f>
        <x:v>0.165</x:v>
      </x:c>
      <x:c r="I29" s="78" t="n">
        <x:f>H29*1000/365</x:f>
        <x:v>0.4520547945205479</x:v>
      </x:c>
      <x:c r="J29" s="78" t="n">
        <x:f>F29</x:f>
        <x:v>0.525</x:v>
      </x:c>
      <x:c r="K29" s="28" t="str">
        <x:v>Private model hypothesis</x:v>
      </x:c>
      <x:c r="L29" s="28" t="str">
        <x:v>OWNED — CANON</x:v>
      </x:c>
      <x:c r="M29" s="28" t="str"/>
      <x:c r="N29" s="28" t="str">
        <x:v>Strategic block; audit if later parent structure changes</x:v>
      </x:c>
    </x:row>
    <x:row r="30">
      <x:c r="A30" s="28" t="str">
        <x:v>Faithfull the Brand</x:v>
      </x:c>
      <x:c r="B30" s="28" t="str">
        <x:v>Faithfull the Brand</x:v>
      </x:c>
      <x:c r="C30" s="28" t="str">
        <x:v>Resort</x:v>
      </x:c>
      <x:c r="D30" s="47" t="n">
        <x:v>0.15</x:v>
      </x:c>
      <x:c r="E30" s="30" t="n">
        <x:v>1</x:v>
      </x:c>
      <x:c r="F30" s="78" t="n">
        <x:f>D30*E30</x:f>
        <x:v>0.15</x:v>
      </x:c>
      <x:c r="G30" s="47" t="n">
        <x:v>0.06</x:v>
      </x:c>
      <x:c r="H30" s="78" t="n">
        <x:f>G30*E30</x:f>
        <x:v>0.06</x:v>
      </x:c>
      <x:c r="I30" s="78" t="n">
        <x:f>H30*1000/365</x:f>
        <x:v>0.1643835616438356</x:v>
      </x:c>
      <x:c r="J30" s="78" t="n">
        <x:f>F30</x:f>
        <x:v>0.15</x:v>
      </x:c>
      <x:c r="K30" s="28" t="str">
        <x:v>Private model hypothesis</x:v>
      </x:c>
      <x:c r="L30" s="28" t="str">
        <x:v>OWNED — CANON</x:v>
      </x:c>
      <x:c r="M30" s="28" t="str"/>
      <x:c r="N30" s="28" t="str">
        <x:v>Outright</x:v>
      </x:c>
    </x:row>
    <x:row r="31">
      <x:c r="A31" s="28" t="str">
        <x:v>Solid &amp; Striped</x:v>
      </x:c>
      <x:c r="B31" s="28" t="str">
        <x:v>Solid &amp; Striped</x:v>
      </x:c>
      <x:c r="C31" s="28" t="str">
        <x:v>Swim / resort</x:v>
      </x:c>
      <x:c r="D31" s="47" t="n">
        <x:v>0.1</x:v>
      </x:c>
      <x:c r="E31" s="30" t="n">
        <x:v>1</x:v>
      </x:c>
      <x:c r="F31" s="78" t="n">
        <x:f>D31*E31</x:f>
        <x:v>0.1</x:v>
      </x:c>
      <x:c r="G31" s="47" t="n">
        <x:v>0.04</x:v>
      </x:c>
      <x:c r="H31" s="78" t="n">
        <x:f>G31*E31</x:f>
        <x:v>0.04</x:v>
      </x:c>
      <x:c r="I31" s="78" t="n">
        <x:f>H31*1000/365</x:f>
        <x:v>0.1095890410958904</x:v>
      </x:c>
      <x:c r="J31" s="78" t="n">
        <x:f>F31</x:f>
        <x:v>0.1</x:v>
      </x:c>
      <x:c r="K31" s="28" t="str">
        <x:v>Private model hypothesis</x:v>
      </x:c>
      <x:c r="L31" s="28" t="str">
        <x:v>OWNED — CANON</x:v>
      </x:c>
      <x:c r="M31" s="28" t="str"/>
      <x:c r="N31" s="28" t="str">
        <x:v>Outright</x:v>
      </x:c>
    </x:row>
    <x:row r="32">
      <x:c r="A32" s="28" t="str">
        <x:v>Agua Bendita</x:v>
      </x:c>
      <x:c r="B32" s="28" t="str">
        <x:v>Agua Bendita</x:v>
      </x:c>
      <x:c r="C32" s="28" t="str">
        <x:v>Swim / resort</x:v>
      </x:c>
      <x:c r="D32" s="47" t="n">
        <x:v>0.12</x:v>
      </x:c>
      <x:c r="E32" s="30" t="n">
        <x:v>1</x:v>
      </x:c>
      <x:c r="F32" s="78" t="n">
        <x:f>D32*E32</x:f>
        <x:v>0.12</x:v>
      </x:c>
      <x:c r="G32" s="47" t="n">
        <x:v>0.05</x:v>
      </x:c>
      <x:c r="H32" s="78" t="n">
        <x:f>G32*E32</x:f>
        <x:v>0.05</x:v>
      </x:c>
      <x:c r="I32" s="78" t="n">
        <x:f>H32*1000/365</x:f>
        <x:v>0.136986301369863</x:v>
      </x:c>
      <x:c r="J32" s="78" t="n">
        <x:f>F32</x:f>
        <x:v>0.12</x:v>
      </x:c>
      <x:c r="K32" s="28" t="str">
        <x:v>Private model hypothesis</x:v>
      </x:c>
      <x:c r="L32" s="28" t="str">
        <x:v>OWNED — CANON</x:v>
      </x:c>
      <x:c r="M32" s="28" t="str"/>
      <x:c r="N32" s="28" t="str">
        <x:v>Outright</x:v>
      </x:c>
    </x:row>
    <x:row r="33">
      <x:c r="A33" s="28" t="str">
        <x:v>Johanna Ortiz</x:v>
      </x:c>
      <x:c r="B33" s="28" t="str">
        <x:v>Johanna Ortiz</x:v>
      </x:c>
      <x:c r="C33" s="28" t="str">
        <x:v>Resort</x:v>
      </x:c>
      <x:c r="D33" s="47" t="n">
        <x:v>0.2</x:v>
      </x:c>
      <x:c r="E33" s="30" t="n">
        <x:v>0.51</x:v>
      </x:c>
      <x:c r="F33" s="78" t="n">
        <x:f>D33*E33</x:f>
        <x:v>0.10200000000000001</x:v>
      </x:c>
      <x:c r="G33" s="47" t="n">
        <x:v>0.08</x:v>
      </x:c>
      <x:c r="H33" s="78" t="n">
        <x:f>G33*E33</x:f>
        <x:v>0.0408</x:v>
      </x:c>
      <x:c r="I33" s="78" t="n">
        <x:f>H33*1000/365</x:f>
        <x:v>0.11178082191780823</x:v>
      </x:c>
      <x:c r="J33" s="78" t="n">
        <x:f>F33</x:f>
        <x:v>0.10200000000000001</x:v>
      </x:c>
      <x:c r="K33" s="28" t="str">
        <x:v>Private model hypothesis</x:v>
      </x:c>
      <x:c r="L33" s="28" t="str">
        <x:v>OWNED — CANON</x:v>
      </x:c>
      <x:c r="M33" s="28" t="str"/>
      <x:c r="N33" s="28" t="str">
        <x:v>Control</x:v>
      </x:c>
    </x:row>
    <x:row r="36">
      <x:c r="A36" s="72" t="str">
        <x:v>FINAL EXPANSION TOTALS</x:v>
      </x:c>
      <x:c r="B36" s="72"/>
      <x:c r="C36" s="72"/>
      <x:c r="D36" s="72"/>
      <x:c r="E36" s="72"/>
      <x:c r="F36" s="72"/>
    </x:row>
    <x:row r="37">
      <x:c r="A37" t="str">
        <x:v>New target/group stakes</x:v>
      </x:c>
      <x:c r="B37" t="n">
        <x:f>COUNTA(A4:A33)</x:f>
        <x:v>30</x:v>
      </x:c>
    </x:row>
    <x:row r="38">
      <x:c r="A38" t="str">
        <x:v>Attributable equity added ($B)</x:v>
      </x:c>
      <x:c r="B38" s="44" t="n">
        <x:f>SUM(F4:F33)</x:f>
        <x:v>22.1006</x:v>
      </x:c>
    </x:row>
    <x:row r="39">
      <x:c r="A39" t="str">
        <x:v>Hat Fund deployed ($B)</x:v>
      </x:c>
      <x:c r="B39" s="44" t="n">
        <x:f>SUM(J4:J33)</x:f>
        <x:v>22.1006</x:v>
      </x:c>
    </x:row>
    <x:row r="40">
      <x:c r="A40" t="str">
        <x:v>Hat Fund remaining after all three raids ($B)</x:v>
      </x:c>
      <x:c r="B40" s="44" t="n">
        <x:f>'Hats Bags Shiny Things'!B50-B39</x:f>
        <x:v>258.2404</x:v>
      </x:c>
    </x:row>
    <x:row r="41">
      <x:c r="A41" t="str">
        <x:v>Annual attributable revenue ($B)</x:v>
      </x:c>
      <x:c r="B41" s="44" t="n">
        <x:f>SUM(H4:H33)</x:f>
        <x:v>11.382749999999998</x:v>
      </x:c>
    </x:row>
    <x:row r="42">
      <x:c r="A42" t="str">
        <x:v>Daily attributable revenue ($M)</x:v>
      </x:c>
      <x:c r="B42" s="44" t="n">
        <x:f>SUM(I4:I33)</x:f>
        <x:v>31.185616438356174</x:v>
      </x:c>
    </x:row>
    <x:row r="43">
      <x:c r="A43" t="str">
        <x:v>Fashion Empire midpoint after final expansion ($B)</x:v>
      </x:c>
      <x:c r="B43" s="44" t="n">
        <x:f>Summary!B5</x:f>
        <x:v>514.2343999999998</x:v>
      </x:c>
    </x:row>
    <x:row r="44">
      <x:c r="A44" t="str">
        <x:v>Total modeled entity/group stakes</x:v>
      </x:c>
      <x:c r="B44" t="n">
        <x:f>160+B37</x:f>
        <x:v>190</x:v>
      </x:c>
    </x:row>
    <x:row r="45">
      <x:c r="A45" t="str">
        <x:v>Total daily attributable revenue from three new pots ($M)</x:v>
      </x:c>
      <x:c r="B45" s="44" t="n">
        <x:f>Summary!B10+B42</x:f>
        <x:v>179.75753424657535</x:v>
      </x:c>
    </x:row>
  </x:sheetData>
  <x:mergeCells>
    <x:mergeCell ref="A1:N1"/>
    <x:mergeCell ref="A2:N2"/>
    <x:mergeCell ref="A36:F36"/>
  </x:mergeCells>
  <x:pageMargins left="0.7" right="0.7" top="0.75" bottom="0.75" header="0.3" footer="0.3"/>
  <x:tableParts count="1">
    <x:tablePart xmlns:r="http://schemas.openxmlformats.org/officeDocument/2006/relationships" r:id="R6f7e4606810247a7"/>
  </x:tableParts>
</x:worksheet>
</file>